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c-picture\1多文件批处理dd2__dd2dd.leige.site\dd2-master\templates\"/>
    </mc:Choice>
  </mc:AlternateContent>
  <xr:revisionPtr revIDLastSave="0" documentId="13_ncr:1_{E0ADADFE-9B24-4DFC-87C5-52097AAF3D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OLE_LINK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I22" i="1"/>
  <c r="I23" i="1"/>
  <c r="I24" i="1"/>
  <c r="I25" i="1"/>
  <c r="I26" i="1"/>
  <c r="F22" i="1"/>
  <c r="F23" i="1"/>
  <c r="F24" i="1"/>
  <c r="F25" i="1"/>
  <c r="F26" i="1"/>
  <c r="D22" i="1"/>
  <c r="D23" i="1"/>
  <c r="D24" i="1"/>
  <c r="D25" i="1"/>
  <c r="D26" i="1"/>
  <c r="A33" i="1"/>
  <c r="H17" i="1"/>
  <c r="H18" i="1"/>
  <c r="H19" i="1"/>
  <c r="H20" i="1"/>
  <c r="H21" i="1"/>
  <c r="H16" i="1"/>
  <c r="F21" i="1"/>
  <c r="F20" i="1"/>
  <c r="F19" i="1"/>
  <c r="F18" i="1"/>
  <c r="F17" i="1"/>
  <c r="F16" i="1"/>
  <c r="D21" i="1"/>
  <c r="D20" i="1"/>
  <c r="D19" i="1"/>
  <c r="D18" i="1"/>
  <c r="D17" i="1"/>
  <c r="D16" i="1"/>
  <c r="I16" i="1"/>
  <c r="I21" i="1"/>
  <c r="I20" i="1"/>
  <c r="I19" i="1"/>
  <c r="I18" i="1"/>
  <c r="I17" i="1"/>
  <c r="G27" i="1"/>
  <c r="G13" i="1" s="1"/>
  <c r="E27" i="1"/>
  <c r="F13" i="1" s="1"/>
  <c r="C27" i="1"/>
  <c r="B13" i="1" s="1"/>
</calcChain>
</file>

<file path=xl/sharedStrings.xml><?xml version="1.0" encoding="utf-8"?>
<sst xmlns="http://schemas.openxmlformats.org/spreadsheetml/2006/main" count="107" uniqueCount="107">
  <si>
    <t>浙江猎人供应链管理有限公司
提单OK件</t>
  </si>
  <si>
    <t>Shipper(发货人)
ZHEJIANG HUNTER SUPPLY CHAIN MANAGEMENT CO.,LTD
(ADD:ROOM 1701-1710,BUILDING B,CHOUYIN MANSION,NO.188 SHANGCHENG ROAD,YIWU,CHINA (ZHEJIANG) PILOT FREE TRADE ZONE
TEL:0579-85517798  FAX:0579-85517798
E-MAIL:28962568@QQ.COM  地址电话传真邮箱只提供不显示)</t>
  </si>
  <si>
    <t>B/L No.(提单号)</t>
  </si>
  <si>
    <t xml:space="preserve">HT No. (业务编号)
</t>
  </si>
  <si>
    <t xml:space="preserve">
请按此提单OK件确认提单，并速发
提单格式件给我司进行最终确认！
谢谢合作！
FROM:
操作
TEL:
FAX:</t>
  </si>
  <si>
    <t xml:space="preserve">Consignee（收货人）
AMAL ALFARSI CARGO SERVICES LLC  
DUBAI UAE.GREECECLUSTER K12 SHOP S05INTERNATIONAL CITY,DUBAI. 
P.O.BOX:124855
MR SIBIN 0507490122 
TEL:043683987 
EMAIL:ROCKROCK20002003@GMAIL.COM
</t>
  </si>
  <si>
    <t xml:space="preserve">Notify Party（通知人）
SAME AS CONSIGNEE
</t>
  </si>
  <si>
    <t>Ocean Vessel(船名)</t>
  </si>
  <si>
    <t>Voy.No.(航次)</t>
  </si>
  <si>
    <t>{船名}</t>
  </si>
  <si>
    <t>{航次}</t>
  </si>
  <si>
    <t>NINGBO</t>
  </si>
  <si>
    <t>Port of Discharge(卸货港)</t>
  </si>
  <si>
    <t>Place of Delivery(交货地点)</t>
  </si>
  <si>
    <t>Final Destination for the Merchant's
Reference(目的地)</t>
  </si>
  <si>
    <t>{目的港}</t>
  </si>
  <si>
    <t xml:space="preserve">{目的港}
</t>
  </si>
  <si>
    <t xml:space="preserve"> </t>
  </si>
  <si>
    <t>Marks(唛头)</t>
  </si>
  <si>
    <t>No of containers or
P'kgs.(箱数或件数)</t>
  </si>
  <si>
    <t>Kind of packages:Description of Goods
(包装类型与货名)</t>
  </si>
  <si>
    <t>Gross Weight
毛重(公斤)</t>
  </si>
  <si>
    <t>Measurement
尺码(立方米)</t>
  </si>
  <si>
    <t>N/M</t>
  </si>
  <si>
    <t xml:space="preserve">申请14天免用箱 提单出SW
</t>
  </si>
  <si>
    <t>{箱号1}</t>
  </si>
  <si>
    <t>{封号1}</t>
  </si>
  <si>
    <t>{件数1}</t>
  </si>
  <si>
    <t>CTNS</t>
  </si>
  <si>
    <t>{毛重1}</t>
  </si>
  <si>
    <t>KGS</t>
  </si>
  <si>
    <t>{体积1}</t>
  </si>
  <si>
    <t>CBM/{箱型1}</t>
  </si>
  <si>
    <t>{箱号2}</t>
  </si>
  <si>
    <t>{封号2}</t>
  </si>
  <si>
    <t>{件数2}</t>
  </si>
  <si>
    <t>{毛重2}</t>
  </si>
  <si>
    <t>{体积2}</t>
  </si>
  <si>
    <t>CBM/{箱型2}</t>
  </si>
  <si>
    <t>{箱号3}</t>
  </si>
  <si>
    <t>{封号3}</t>
  </si>
  <si>
    <t>{件数3}</t>
  </si>
  <si>
    <t>{毛重3}</t>
  </si>
  <si>
    <t>{体积3}</t>
  </si>
  <si>
    <t>CBM/{箱型3}</t>
  </si>
  <si>
    <t>{箱号4}</t>
  </si>
  <si>
    <t>{封号4}</t>
  </si>
  <si>
    <t>{件数4}</t>
  </si>
  <si>
    <t>{毛重4}</t>
  </si>
  <si>
    <t>{体积4}</t>
  </si>
  <si>
    <t>CBM/{箱型4}</t>
  </si>
  <si>
    <t>{箱号5}</t>
  </si>
  <si>
    <t>{封号5}</t>
  </si>
  <si>
    <t>{件数5}</t>
  </si>
  <si>
    <t>{毛重5}</t>
  </si>
  <si>
    <t>{体积5}</t>
  </si>
  <si>
    <t>CBM/{箱型5}</t>
  </si>
  <si>
    <t>{箱号6}</t>
  </si>
  <si>
    <t>{封号6}</t>
  </si>
  <si>
    <t>{件数6}</t>
  </si>
  <si>
    <t>{毛重6}</t>
  </si>
  <si>
    <t>{体积6}</t>
  </si>
  <si>
    <t>CBM/{箱型6}</t>
  </si>
  <si>
    <t>{箱号7}</t>
  </si>
  <si>
    <t>{封号7}</t>
  </si>
  <si>
    <t>{件数7}</t>
  </si>
  <si>
    <t>{毛重7}</t>
  </si>
  <si>
    <t>{体积7}</t>
  </si>
  <si>
    <t>CBM/{箱型7}</t>
  </si>
  <si>
    <t>ON BOARD</t>
  </si>
  <si>
    <t>Total Number of Containers or Packages
(In Words)集装箱或件数合计（大写）</t>
  </si>
  <si>
    <t>远通软件G3soft印制:www.g3soft.com      Tel:86-0574-87812201</t>
  </si>
  <si>
    <t>{并单号1}</t>
    <phoneticPr fontId="18" type="noConversion"/>
  </si>
  <si>
    <r>
      <t>{</t>
    </r>
    <r>
      <rPr>
        <b/>
        <sz val="10"/>
        <rFont val="宋体"/>
        <family val="2"/>
        <charset val="134"/>
      </rPr>
      <t>并</t>
    </r>
    <r>
      <rPr>
        <b/>
        <sz val="10"/>
        <rFont val="Microsoft JhengHei"/>
        <family val="2"/>
        <charset val="136"/>
      </rPr>
      <t>单号</t>
    </r>
    <r>
      <rPr>
        <b/>
        <sz val="10"/>
        <rFont val="微软雅黑"/>
        <family val="2"/>
        <charset val="134"/>
      </rPr>
      <t>1</t>
    </r>
    <r>
      <rPr>
        <b/>
        <sz val="10"/>
        <rFont val="Calibri"/>
        <family val="2"/>
      </rPr>
      <t>}</t>
    </r>
    <phoneticPr fontId="18" type="noConversion"/>
  </si>
  <si>
    <t>Port of Loading(装货港)</t>
    <phoneticPr fontId="18" type="noConversion"/>
  </si>
  <si>
    <r>
      <t>FREIGHT PREPAID
SHIPPER LOAD,COUNT &amp;</t>
    </r>
    <r>
      <rPr>
        <b/>
        <sz val="10"/>
        <color rgb="FF000000"/>
        <rFont val="Times New Roman"/>
        <family val="1"/>
      </rPr>
      <t xml:space="preserve"> SEAL.
CY-CY </t>
    </r>
    <phoneticPr fontId="18" type="noConversion"/>
  </si>
  <si>
    <r>
      <rPr>
        <b/>
        <sz val="10"/>
        <color rgb="FFFF0000"/>
        <rFont val="宋体"/>
        <family val="3"/>
        <charset val="134"/>
      </rPr>
      <t>{带HS的商品列表1}</t>
    </r>
    <r>
      <rPr>
        <b/>
        <sz val="10"/>
        <color rgb="FF000000"/>
        <rFont val="宋体"/>
        <family val="3"/>
        <charset val="134"/>
      </rPr>
      <t>{带HS的商品列表2}</t>
    </r>
    <r>
      <rPr>
        <b/>
        <sz val="10"/>
        <color rgb="FFFF0000"/>
        <rFont val="宋体"/>
        <family val="3"/>
        <charset val="134"/>
      </rPr>
      <t>{带HS的商品列表3}</t>
    </r>
    <r>
      <rPr>
        <b/>
        <sz val="10"/>
        <color rgb="FF000000"/>
        <rFont val="宋体"/>
        <family val="3"/>
        <charset val="134"/>
      </rPr>
      <t>{带HS的商品列表4}</t>
    </r>
    <r>
      <rPr>
        <b/>
        <sz val="10"/>
        <color rgb="FFFF0000"/>
        <rFont val="宋体"/>
        <family val="3"/>
        <charset val="134"/>
      </rPr>
      <t>{带HS的商品列表5}</t>
    </r>
    <r>
      <rPr>
        <b/>
        <sz val="10"/>
        <color rgb="FF000000"/>
        <rFont val="宋体"/>
        <family val="3"/>
        <charset val="134"/>
      </rPr>
      <t>{带HS的商品列表6}</t>
    </r>
    <r>
      <rPr>
        <b/>
        <sz val="10"/>
        <color rgb="FFFF0000"/>
        <rFont val="宋体"/>
        <family val="3"/>
        <charset val="134"/>
      </rPr>
      <t>{带HS的商品列表7}</t>
    </r>
    <r>
      <rPr>
        <b/>
        <sz val="10"/>
        <rFont val="宋体"/>
        <family val="3"/>
        <charset val="134"/>
      </rPr>
      <t>{带HS的商品列表8}</t>
    </r>
    <r>
      <rPr>
        <b/>
        <sz val="10"/>
        <color rgb="FFFF0000"/>
        <rFont val="宋体"/>
        <family val="3"/>
        <charset val="134"/>
      </rPr>
      <t>{带HS的商品列表9}</t>
    </r>
    <r>
      <rPr>
        <b/>
        <sz val="10"/>
        <rFont val="宋体"/>
        <family val="3"/>
        <charset val="134"/>
      </rPr>
      <t>{带HS的商品列表10}</t>
    </r>
    <r>
      <rPr>
        <b/>
        <sz val="10"/>
        <color rgb="FFFF0000"/>
        <rFont val="宋体"/>
        <family val="3"/>
        <charset val="134"/>
      </rPr>
      <t>{带HS的商品列表11}</t>
    </r>
    <r>
      <rPr>
        <b/>
        <sz val="10"/>
        <rFont val="宋体"/>
        <family val="3"/>
        <charset val="134"/>
      </rPr>
      <t>{带HS的商品列表12}</t>
    </r>
    <phoneticPr fontId="18" type="noConversion"/>
  </si>
  <si>
    <t>{箱号8}</t>
  </si>
  <si>
    <t>{箱号9}</t>
  </si>
  <si>
    <t>{箱号10}</t>
  </si>
  <si>
    <t>{箱号11}</t>
  </si>
  <si>
    <t>{箱号12}</t>
  </si>
  <si>
    <t>{封号8}</t>
  </si>
  <si>
    <t>{封号9}</t>
  </si>
  <si>
    <t>{封号10}</t>
  </si>
  <si>
    <t>{封号11}</t>
  </si>
  <si>
    <t>{封号12}</t>
  </si>
  <si>
    <t>{件数8}</t>
  </si>
  <si>
    <t>{件数9}</t>
  </si>
  <si>
    <t>{件数10}</t>
  </si>
  <si>
    <t>{件数11}</t>
  </si>
  <si>
    <t>{件数12}</t>
  </si>
  <si>
    <t>{毛重8}</t>
  </si>
  <si>
    <t>{毛重9}</t>
  </si>
  <si>
    <t>{毛重10}</t>
  </si>
  <si>
    <t>{毛重11}</t>
  </si>
  <si>
    <t>{毛重12}</t>
  </si>
  <si>
    <t>{体积8}</t>
  </si>
  <si>
    <t>{体积9}</t>
  </si>
  <si>
    <t>{体积10}</t>
  </si>
  <si>
    <t>{体积11}</t>
  </si>
  <si>
    <t>{体积12}</t>
  </si>
  <si>
    <t>CBM/{箱型8}</t>
  </si>
  <si>
    <t>CBM/{箱型9}</t>
  </si>
  <si>
    <t>CBM/{箱型10}</t>
  </si>
  <si>
    <t>CBM/{箱型11}</t>
  </si>
  <si>
    <t>CBM/{箱型12}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</si>
</sst>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6" x14ac:knownFonts="1"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6"/>
      <color indexed="8"/>
      <name val="宋体"/>
    </font>
    <font>
      <sz val="10"/>
      <color indexed="8"/>
      <name val="宋体"/>
    </font>
    <font>
      <sz val="9"/>
      <color indexed="8"/>
      <name val="宋体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sz val="10"/>
      <name val="宋体"/>
    </font>
    <font>
      <sz val="8"/>
      <color indexed="24"/>
      <name val="宋体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FF0000"/>
      <name val="宋体"/>
    </font>
    <font>
      <b/>
      <sz val="12"/>
      <color indexed="8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name val="Calibri"/>
      <family val="2"/>
    </font>
    <font>
      <b/>
      <sz val="10"/>
      <name val="宋体"/>
      <family val="2"/>
      <charset val="134"/>
    </font>
    <font>
      <b/>
      <sz val="10"/>
      <name val="Microsoft JhengHei"/>
      <family val="2"/>
      <charset val="136"/>
    </font>
    <font>
      <b/>
      <sz val="10"/>
      <name val="微软雅黑"/>
      <family val="2"/>
      <charset val="134"/>
    </font>
    <font>
      <sz val="9"/>
      <color indexed="8"/>
      <name val="宋体"/>
      <family val="3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0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right" vertical="top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 vertical="top"/>
    </xf>
    <xf numFmtId="0" fontId="8" fillId="0" borderId="0" xfId="0" applyFont="1" applyAlignment="1">
      <alignment vertical="center" wrapText="1"/>
    </xf>
    <xf numFmtId="0" fontId="0" fillId="0" borderId="0" xfId="0"/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76" fontId="11" fillId="0" borderId="0" xfId="0" applyNumberFormat="1" applyFont="1"/>
    <xf numFmtId="176" fontId="11" fillId="0" borderId="0" xfId="0" applyNumberFormat="1" applyFont="1" applyAlignment="1">
      <alignment horizontal="right" vertical="top"/>
    </xf>
    <xf numFmtId="0" fontId="20" fillId="0" borderId="0" xfId="0" applyFont="1" applyAlignment="1">
      <alignment vertical="center"/>
    </xf>
    <xf numFmtId="0" fontId="24" fillId="0" borderId="1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9" fillId="0" borderId="6" xfId="0" applyFont="1" applyBorder="1" applyAlignment="1">
      <alignment horizontal="left" vertical="center"/>
    </xf>
    <xf numFmtId="0" fontId="0" fillId="0" borderId="6" xfId="0" applyBorder="1"/>
    <xf numFmtId="0" fontId="13" fillId="0" borderId="2" xfId="0" applyFont="1" applyBorder="1" applyAlignment="1">
      <alignment horizontal="left" vertical="top" wrapText="1"/>
    </xf>
    <xf numFmtId="0" fontId="0" fillId="0" borderId="2" xfId="0" applyBorder="1"/>
    <xf numFmtId="0" fontId="3" fillId="0" borderId="5" xfId="0" applyFont="1" applyBorder="1" applyAlignment="1">
      <alignment horizontal="left" vertical="top"/>
    </xf>
    <xf numFmtId="0" fontId="0" fillId="0" borderId="5" xfId="0" applyBorder="1"/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5" fillId="0" borderId="0" xfId="0" applyFont="1" applyAlignment="1">
      <alignment horizontal="left" vertical="top"/>
    </xf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0" fillId="0" borderId="8" xfId="0" applyBorder="1"/>
    <xf numFmtId="0" fontId="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3" fillId="0" borderId="7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99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3" workbookViewId="0">
      <selection activeCell="M13" sqref="M1:M1048576"/>
    </sheetView>
  </sheetViews>
  <sheetFormatPr defaultColWidth="9.109375" defaultRowHeight="13.2" x14ac:dyDescent="0.25"/>
  <cols>
    <col min="1" max="1" width="15.5546875" style="11" customWidth="1"/>
    <col min="2" max="2" width="12.5546875" style="11" customWidth="1"/>
    <col min="3" max="3" width="8.44140625" style="11" customWidth="1"/>
    <col min="4" max="4" width="12" style="11" customWidth="1"/>
    <col min="5" max="5" width="22.44140625" style="11" customWidth="1"/>
    <col min="6" max="6" width="13.33203125" style="11" customWidth="1"/>
    <col min="7" max="7" width="11.6640625" style="11" customWidth="1"/>
    <col min="8" max="8" width="13.33203125" style="11" customWidth="1"/>
    <col min="9" max="9" width="12" style="11" customWidth="1"/>
    <col min="13" max="13" width="9.109375" hidden="1" customWidth="1"/>
  </cols>
  <sheetData>
    <row r="1" spans="1:13" ht="38.1" customHeight="1" x14ac:dyDescent="0.25">
      <c r="A1" s="49" t="s">
        <v>0</v>
      </c>
      <c r="B1" s="38"/>
      <c r="C1" s="38"/>
      <c r="D1" s="38"/>
      <c r="E1" s="38"/>
      <c r="F1" s="38"/>
      <c r="G1" s="38"/>
      <c r="H1" s="16"/>
    </row>
    <row r="2" spans="1:13" ht="16.5" customHeight="1" x14ac:dyDescent="0.25">
      <c r="A2" s="53" t="s">
        <v>1</v>
      </c>
      <c r="B2" s="36"/>
      <c r="C2" s="36"/>
      <c r="D2" s="36"/>
      <c r="E2" s="36"/>
      <c r="F2" s="52" t="s">
        <v>2</v>
      </c>
      <c r="G2" s="38"/>
      <c r="H2" s="38"/>
    </row>
    <row r="3" spans="1:13" ht="24.75" customHeight="1" x14ac:dyDescent="0.25">
      <c r="A3" s="38"/>
      <c r="B3" s="38"/>
      <c r="C3" s="38"/>
      <c r="D3" s="38"/>
      <c r="E3" s="38"/>
      <c r="F3" s="51" t="s">
        <v>72</v>
      </c>
      <c r="G3" s="38"/>
      <c r="H3" s="38"/>
    </row>
    <row r="4" spans="1:13" ht="36.9" customHeight="1" x14ac:dyDescent="0.25">
      <c r="A4" s="38"/>
      <c r="B4" s="38"/>
      <c r="C4" s="38"/>
      <c r="D4" s="38"/>
      <c r="E4" s="38"/>
      <c r="F4" s="45" t="s">
        <v>3</v>
      </c>
      <c r="G4" s="46"/>
      <c r="H4" s="3"/>
    </row>
    <row r="5" spans="1:13" ht="29.25" hidden="1" customHeight="1" x14ac:dyDescent="0.25">
      <c r="A5" s="32"/>
      <c r="B5" s="32"/>
      <c r="C5" s="32"/>
      <c r="D5" s="32"/>
      <c r="E5" s="32"/>
      <c r="F5" s="48" t="s">
        <v>4</v>
      </c>
      <c r="G5" s="38"/>
      <c r="H5" s="38"/>
    </row>
    <row r="6" spans="1:13" ht="105.6" customHeight="1" x14ac:dyDescent="0.25">
      <c r="A6" s="31" t="s">
        <v>5</v>
      </c>
      <c r="B6" s="32"/>
      <c r="C6" s="32"/>
      <c r="D6" s="32"/>
      <c r="E6" s="32"/>
      <c r="F6" s="38"/>
      <c r="G6" s="38"/>
      <c r="H6" s="38"/>
    </row>
    <row r="7" spans="1:13" ht="36.75" customHeight="1" x14ac:dyDescent="0.25">
      <c r="A7" s="31" t="s">
        <v>6</v>
      </c>
      <c r="B7" s="32"/>
      <c r="C7" s="32"/>
      <c r="D7" s="32"/>
      <c r="E7" s="32"/>
      <c r="F7" s="38"/>
      <c r="G7" s="38"/>
      <c r="H7" s="38"/>
    </row>
    <row r="8" spans="1:13" ht="15.9" customHeight="1" x14ac:dyDescent="0.25">
      <c r="A8" s="44" t="s">
        <v>7</v>
      </c>
      <c r="B8" s="36"/>
      <c r="C8" s="44" t="s">
        <v>8</v>
      </c>
      <c r="D8" s="36"/>
      <c r="E8" s="26" t="s">
        <v>74</v>
      </c>
      <c r="F8" s="38"/>
      <c r="G8" s="38"/>
      <c r="H8" s="38"/>
    </row>
    <row r="9" spans="1:13" ht="20.100000000000001" customHeight="1" x14ac:dyDescent="0.25">
      <c r="A9" s="42" t="s">
        <v>9</v>
      </c>
      <c r="B9" s="32"/>
      <c r="C9" s="42" t="s">
        <v>10</v>
      </c>
      <c r="D9" s="32"/>
      <c r="E9" s="18" t="s">
        <v>11</v>
      </c>
      <c r="F9" s="38"/>
      <c r="G9" s="38"/>
      <c r="H9" s="38"/>
    </row>
    <row r="10" spans="1:13" ht="21.6" customHeight="1" x14ac:dyDescent="0.25">
      <c r="A10" s="44" t="s">
        <v>12</v>
      </c>
      <c r="B10" s="36"/>
      <c r="C10" s="36"/>
      <c r="D10" s="44" t="s">
        <v>13</v>
      </c>
      <c r="E10" s="36"/>
      <c r="F10" s="50" t="s">
        <v>14</v>
      </c>
      <c r="G10" s="38"/>
      <c r="H10" s="38"/>
    </row>
    <row r="11" spans="1:13" ht="17.25" customHeight="1" x14ac:dyDescent="0.25">
      <c r="A11" s="42" t="s">
        <v>15</v>
      </c>
      <c r="B11" s="32"/>
      <c r="C11" s="32"/>
      <c r="D11" s="39" t="s">
        <v>16</v>
      </c>
      <c r="E11" s="32"/>
      <c r="F11" s="18" t="s">
        <v>17</v>
      </c>
      <c r="G11" s="18"/>
      <c r="H11" s="21"/>
    </row>
    <row r="12" spans="1:13" ht="48" customHeight="1" x14ac:dyDescent="0.25">
      <c r="A12" s="17" t="s">
        <v>18</v>
      </c>
      <c r="B12" s="35" t="s">
        <v>19</v>
      </c>
      <c r="C12" s="36"/>
      <c r="D12" s="35" t="s">
        <v>20</v>
      </c>
      <c r="E12" s="36"/>
      <c r="F12" s="19" t="s">
        <v>21</v>
      </c>
      <c r="G12" s="47" t="s">
        <v>22</v>
      </c>
      <c r="H12" s="38"/>
    </row>
    <row r="13" spans="1:13" ht="343.5" customHeight="1" x14ac:dyDescent="0.25">
      <c r="A13" s="21" t="s">
        <v>23</v>
      </c>
      <c r="B13" s="43" t="str">
        <f>SUM(C15:INDEX(C:C, MATCH(1E+99, C:C)-1)) &amp; "CTNS"</f>
        <v>0CTNS</v>
      </c>
      <c r="C13" s="38"/>
      <c r="D13" s="41" t="s">
        <v>76</v>
      </c>
      <c r="E13" s="38"/>
      <c r="F13" s="20" t="str">
        <f>SUM(E15:INDEX(E:E, MATCH(1E+99, E:E)-1)) &amp; "KGS"</f>
        <v>0KGS</v>
      </c>
      <c r="G13" s="37" t="str">
        <f>SUM(G15:INDEX(G:G, MATCH(1E+99, G:G)-1)) &amp; "CBM"</f>
        <v>0CBM</v>
      </c>
      <c r="H13" s="38"/>
    </row>
    <row r="14" spans="1:13" ht="27" customHeight="1" x14ac:dyDescent="0.25">
      <c r="A14" s="21"/>
      <c r="B14" s="21"/>
      <c r="C14" s="21"/>
      <c r="D14" s="40" t="s">
        <v>24</v>
      </c>
      <c r="E14" s="38"/>
      <c r="F14" s="21"/>
      <c r="G14" s="21"/>
      <c r="H14" s="21"/>
    </row>
    <row r="15" spans="1:13" s="1" customFormat="1" ht="12.75" customHeight="1" x14ac:dyDescent="0.25">
      <c r="A15" s="4" t="s">
        <v>25</v>
      </c>
      <c r="B15" s="4" t="s">
        <v>26</v>
      </c>
      <c r="C15" s="23" t="s">
        <v>27</v>
      </c>
      <c r="D15" s="4" t="s">
        <v>28</v>
      </c>
      <c r="E15" s="24" t="s">
        <v>29</v>
      </c>
      <c r="F15" s="5" t="s">
        <v>30</v>
      </c>
      <c r="G15" s="24" t="s">
        <v>31</v>
      </c>
      <c r="H15" s="4" t="s">
        <v>32</v>
      </c>
      <c r="I15" s="25" t="s">
        <v>73</v>
      </c>
    </row>
    <row r="16" spans="1:13" s="1" customFormat="1" ht="12.75" customHeight="1" x14ac:dyDescent="0.25">
      <c r="A16" s="4" t="s">
        <v>33</v>
      </c>
      <c r="B16" s="4" t="s">
        <v>34</v>
      </c>
      <c r="C16" s="23" t="s">
        <v>35</v>
      </c>
      <c r="D16" s="4" t="str">
        <f t="shared" ref="D16:D26" si="0">IF(A16&lt;&gt;"","CTNS","")</f>
        <v>CTNS</v>
      </c>
      <c r="E16" s="24" t="s">
        <v>36</v>
      </c>
      <c r="F16" s="5" t="str">
        <f t="shared" ref="F16:F26" si="1">IF(A16&lt;&gt;"","KGS","")</f>
        <v>KGS</v>
      </c>
      <c r="G16" s="24" t="s">
        <v>37</v>
      </c>
      <c r="H16" s="4" t="str">
        <f>IF(A16&lt;&gt;"",M16,"")</f>
        <v>CBM/{箱型2}</v>
      </c>
      <c r="I16" s="25" t="str">
        <f>IF(A16&lt;&gt;"",I15,"")</f>
        <v>{并单号1}</v>
      </c>
      <c r="M16" s="4" t="s">
        <v>38</v>
      </c>
    </row>
    <row r="17" spans="1:13" s="1" customFormat="1" ht="12.75" customHeight="1" x14ac:dyDescent="0.25">
      <c r="A17" s="4" t="s">
        <v>39</v>
      </c>
      <c r="B17" s="4" t="s">
        <v>40</v>
      </c>
      <c r="C17" s="23" t="s">
        <v>41</v>
      </c>
      <c r="D17" s="4" t="str">
        <f t="shared" si="0"/>
        <v>CTNS</v>
      </c>
      <c r="E17" s="24" t="s">
        <v>42</v>
      </c>
      <c r="F17" s="5" t="str">
        <f t="shared" si="1"/>
        <v>KGS</v>
      </c>
      <c r="G17" s="24" t="s">
        <v>43</v>
      </c>
      <c r="H17" s="4" t="str">
        <f t="shared" ref="H17:H26" si="2">IF(A17&lt;&gt;"",M17,"")</f>
        <v>CBM/{箱型3}</v>
      </c>
      <c r="I17" s="25" t="str">
        <f>IF(A17&lt;&gt;"",I15,"")</f>
        <v>{并单号1}</v>
      </c>
      <c r="M17" s="4" t="s">
        <v>44</v>
      </c>
    </row>
    <row r="18" spans="1:13" s="1" customFormat="1" ht="12.75" customHeight="1" x14ac:dyDescent="0.25">
      <c r="A18" s="4" t="s">
        <v>45</v>
      </c>
      <c r="B18" s="4" t="s">
        <v>46</v>
      </c>
      <c r="C18" s="23" t="s">
        <v>47</v>
      </c>
      <c r="D18" s="4" t="str">
        <f t="shared" si="0"/>
        <v>CTNS</v>
      </c>
      <c r="E18" s="24" t="s">
        <v>48</v>
      </c>
      <c r="F18" s="5" t="str">
        <f t="shared" si="1"/>
        <v>KGS</v>
      </c>
      <c r="G18" s="24" t="s">
        <v>49</v>
      </c>
      <c r="H18" s="4" t="str">
        <f t="shared" si="2"/>
        <v>CBM/{箱型4}</v>
      </c>
      <c r="I18" s="25" t="str">
        <f>IF(A18&lt;&gt;"",I15,"")</f>
        <v>{并单号1}</v>
      </c>
      <c r="M18" s="4" t="s">
        <v>50</v>
      </c>
    </row>
    <row r="19" spans="1:13" s="1" customFormat="1" ht="12.75" customHeight="1" x14ac:dyDescent="0.25">
      <c r="A19" s="4" t="s">
        <v>51</v>
      </c>
      <c r="B19" s="4" t="s">
        <v>52</v>
      </c>
      <c r="C19" s="23" t="s">
        <v>53</v>
      </c>
      <c r="D19" s="4" t="str">
        <f t="shared" si="0"/>
        <v>CTNS</v>
      </c>
      <c r="E19" s="24" t="s">
        <v>54</v>
      </c>
      <c r="F19" s="5" t="str">
        <f t="shared" si="1"/>
        <v>KGS</v>
      </c>
      <c r="G19" s="24" t="s">
        <v>55</v>
      </c>
      <c r="H19" s="4" t="str">
        <f t="shared" si="2"/>
        <v>CBM/{箱型5}</v>
      </c>
      <c r="I19" s="25" t="str">
        <f>IF(A19&lt;&gt;"",I15,"")</f>
        <v>{并单号1}</v>
      </c>
      <c r="M19" s="4" t="s">
        <v>56</v>
      </c>
    </row>
    <row r="20" spans="1:13" s="1" customFormat="1" ht="12.75" customHeight="1" x14ac:dyDescent="0.25">
      <c r="A20" s="4" t="s">
        <v>57</v>
      </c>
      <c r="B20" s="4" t="s">
        <v>58</v>
      </c>
      <c r="C20" s="23" t="s">
        <v>59</v>
      </c>
      <c r="D20" s="4" t="str">
        <f t="shared" si="0"/>
        <v>CTNS</v>
      </c>
      <c r="E20" s="24" t="s">
        <v>60</v>
      </c>
      <c r="F20" s="5" t="str">
        <f t="shared" si="1"/>
        <v>KGS</v>
      </c>
      <c r="G20" s="24" t="s">
        <v>61</v>
      </c>
      <c r="H20" s="4" t="str">
        <f t="shared" si="2"/>
        <v>CBM/{箱型6}</v>
      </c>
      <c r="I20" s="25" t="str">
        <f>IF(A20&lt;&gt;"",I15,"")</f>
        <v>{并单号1}</v>
      </c>
      <c r="M20" s="4" t="s">
        <v>62</v>
      </c>
    </row>
    <row r="21" spans="1:13" s="1" customFormat="1" ht="12.75" customHeight="1" x14ac:dyDescent="0.25">
      <c r="A21" s="4" t="s">
        <v>63</v>
      </c>
      <c r="B21" s="4" t="s">
        <v>64</v>
      </c>
      <c r="C21" s="23" t="s">
        <v>65</v>
      </c>
      <c r="D21" s="4" t="str">
        <f t="shared" si="0"/>
        <v>CTNS</v>
      </c>
      <c r="E21" s="24" t="s">
        <v>66</v>
      </c>
      <c r="F21" s="5" t="str">
        <f t="shared" si="1"/>
        <v>KGS</v>
      </c>
      <c r="G21" s="24" t="s">
        <v>67</v>
      </c>
      <c r="H21" s="4" t="str">
        <f t="shared" si="2"/>
        <v>CBM/{箱型7}</v>
      </c>
      <c r="I21" s="25" t="str">
        <f>IF(A21&lt;&gt;"",I15,"")</f>
        <v>{并单号1}</v>
      </c>
      <c r="M21" s="4" t="s">
        <v>68</v>
      </c>
    </row>
    <row r="22" spans="1:13" s="1" customFormat="1" ht="12.75" customHeight="1" x14ac:dyDescent="0.25">
      <c r="A22" s="4" t="s">
        <v>77</v>
      </c>
      <c r="B22" s="4" t="s">
        <v>82</v>
      </c>
      <c r="C22" s="23" t="s">
        <v>87</v>
      </c>
      <c r="D22" s="4" t="str">
        <f t="shared" si="0"/>
        <v>CTNS</v>
      </c>
      <c r="E22" s="24" t="s">
        <v>92</v>
      </c>
      <c r="F22" s="5" t="str">
        <f t="shared" si="1"/>
        <v>KGS</v>
      </c>
      <c r="G22" s="24" t="s">
        <v>97</v>
      </c>
      <c r="H22" s="4" t="str">
        <f t="shared" si="2"/>
        <v>CBM/{箱型8}</v>
      </c>
      <c r="I22" s="25" t="str">
        <f t="shared" ref="I22:I26" si="3">IF(A22&lt;&gt;"",I16,"")</f>
        <v>{并单号1}</v>
      </c>
      <c r="M22" s="4" t="s">
        <v>102</v>
      </c>
    </row>
    <row r="23" spans="1:13" s="1" customFormat="1" ht="12.75" customHeight="1" x14ac:dyDescent="0.25">
      <c r="A23" s="4" t="s">
        <v>78</v>
      </c>
      <c r="B23" s="4" t="s">
        <v>83</v>
      </c>
      <c r="C23" s="23" t="s">
        <v>88</v>
      </c>
      <c r="D23" s="4" t="str">
        <f t="shared" si="0"/>
        <v>CTNS</v>
      </c>
      <c r="E23" s="24" t="s">
        <v>93</v>
      </c>
      <c r="F23" s="5" t="str">
        <f t="shared" si="1"/>
        <v>KGS</v>
      </c>
      <c r="G23" s="24" t="s">
        <v>98</v>
      </c>
      <c r="H23" s="4" t="str">
        <f t="shared" si="2"/>
        <v>CBM/{箱型9}</v>
      </c>
      <c r="I23" s="25" t="str">
        <f t="shared" si="3"/>
        <v>{并单号1}</v>
      </c>
      <c r="M23" s="4" t="s">
        <v>103</v>
      </c>
    </row>
    <row r="24" spans="1:13" s="1" customFormat="1" ht="12.75" customHeight="1" x14ac:dyDescent="0.25">
      <c r="A24" s="4" t="s">
        <v>79</v>
      </c>
      <c r="B24" s="4" t="s">
        <v>84</v>
      </c>
      <c r="C24" s="23" t="s">
        <v>89</v>
      </c>
      <c r="D24" s="4" t="str">
        <f t="shared" si="0"/>
        <v>CTNS</v>
      </c>
      <c r="E24" s="24" t="s">
        <v>94</v>
      </c>
      <c r="F24" s="5" t="str">
        <f t="shared" si="1"/>
        <v>KGS</v>
      </c>
      <c r="G24" s="24" t="s">
        <v>99</v>
      </c>
      <c r="H24" s="4" t="str">
        <f t="shared" si="2"/>
        <v>CBM/{箱型10}</v>
      </c>
      <c r="I24" s="25" t="str">
        <f t="shared" si="3"/>
        <v>{并单号1}</v>
      </c>
      <c r="M24" s="4" t="s">
        <v>104</v>
      </c>
    </row>
    <row r="25" spans="1:13" s="1" customFormat="1" ht="12.75" customHeight="1" x14ac:dyDescent="0.25">
      <c r="A25" s="4" t="s">
        <v>80</v>
      </c>
      <c r="B25" s="4" t="s">
        <v>85</v>
      </c>
      <c r="C25" s="23" t="s">
        <v>90</v>
      </c>
      <c r="D25" s="4" t="str">
        <f t="shared" si="0"/>
        <v>CTNS</v>
      </c>
      <c r="E25" s="24" t="s">
        <v>95</v>
      </c>
      <c r="F25" s="5" t="str">
        <f t="shared" si="1"/>
        <v>KGS</v>
      </c>
      <c r="G25" s="24" t="s">
        <v>100</v>
      </c>
      <c r="H25" s="4" t="str">
        <f t="shared" si="2"/>
        <v>CBM/{箱型11}</v>
      </c>
      <c r="I25" s="25" t="str">
        <f t="shared" si="3"/>
        <v>{并单号1}</v>
      </c>
      <c r="M25" s="4" t="s">
        <v>105</v>
      </c>
    </row>
    <row r="26" spans="1:13" s="1" customFormat="1" ht="12.75" customHeight="1" x14ac:dyDescent="0.25">
      <c r="A26" s="4" t="s">
        <v>81</v>
      </c>
      <c r="B26" s="4" t="s">
        <v>86</v>
      </c>
      <c r="C26" s="23" t="s">
        <v>91</v>
      </c>
      <c r="D26" s="4" t="str">
        <f t="shared" si="0"/>
        <v>CTNS</v>
      </c>
      <c r="E26" s="24" t="s">
        <v>96</v>
      </c>
      <c r="F26" s="5" t="str">
        <f t="shared" si="1"/>
        <v>KGS</v>
      </c>
      <c r="G26" s="24" t="s">
        <v>101</v>
      </c>
      <c r="H26" s="4" t="str">
        <f t="shared" si="2"/>
        <v>CBM/{箱型12}</v>
      </c>
      <c r="I26" s="25" t="str">
        <f t="shared" si="3"/>
        <v>{并单号1}</v>
      </c>
      <c r="M26" s="4" t="s">
        <v>106</v>
      </c>
    </row>
    <row r="27" spans="1:13" s="1" customFormat="1" ht="12.75" customHeight="1" x14ac:dyDescent="0.25">
      <c r="A27" s="4"/>
      <c r="B27" s="4"/>
      <c r="C27" s="5">
        <f>SUM(C15:INDEX(C:C, ROW()-1))</f>
        <v>0</v>
      </c>
      <c r="D27" s="4"/>
      <c r="E27" s="6">
        <f>SUM(E15:INDEX(E:E, ROW()-1))</f>
        <v>0</v>
      </c>
      <c r="F27" s="5"/>
      <c r="G27" s="6">
        <f>SUM(G15:INDEX(G:G, ROW()-1))</f>
        <v>0</v>
      </c>
      <c r="H27" s="4"/>
      <c r="I27" s="7"/>
    </row>
    <row r="28" spans="1:13" s="2" customFormat="1" ht="12.75" customHeight="1" x14ac:dyDescent="0.25">
      <c r="A28" s="21"/>
      <c r="B28" s="21"/>
      <c r="C28" s="8"/>
      <c r="D28" s="21"/>
      <c r="E28" s="9"/>
      <c r="F28" s="8"/>
      <c r="G28" s="9"/>
      <c r="H28" s="21"/>
      <c r="I28" s="10"/>
    </row>
    <row r="29" spans="1:13" s="2" customFormat="1" ht="12.75" customHeight="1" x14ac:dyDescent="0.25">
      <c r="A29" s="21"/>
      <c r="B29" s="21"/>
      <c r="C29" s="8"/>
      <c r="D29" s="21"/>
      <c r="E29" s="9"/>
      <c r="F29" s="8"/>
      <c r="G29" s="9"/>
      <c r="H29" s="21"/>
      <c r="I29" s="10"/>
    </row>
    <row r="30" spans="1:13" s="2" customFormat="1" ht="12.75" customHeight="1" x14ac:dyDescent="0.25">
      <c r="A30" s="21"/>
      <c r="B30" s="21"/>
      <c r="C30" s="8"/>
      <c r="D30" s="21"/>
      <c r="E30" s="9"/>
      <c r="F30" s="8"/>
      <c r="G30" s="9"/>
      <c r="H30" s="21"/>
    </row>
    <row r="31" spans="1:13" ht="52.5" customHeight="1" x14ac:dyDescent="0.25">
      <c r="A31" s="21" t="s">
        <v>69</v>
      </c>
      <c r="B31" s="39" t="s">
        <v>75</v>
      </c>
      <c r="C31" s="32"/>
      <c r="D31" s="32"/>
      <c r="E31" s="32"/>
      <c r="F31" s="32"/>
      <c r="G31" s="32"/>
      <c r="H31" s="22"/>
    </row>
    <row r="32" spans="1:13" ht="24.6" customHeight="1" x14ac:dyDescent="0.25">
      <c r="A32" s="27" t="s">
        <v>70</v>
      </c>
      <c r="B32" s="28"/>
      <c r="C32" s="28"/>
      <c r="D32" s="12"/>
      <c r="E32" s="21"/>
      <c r="F32" s="21"/>
      <c r="G32" s="21"/>
      <c r="H32" s="13"/>
    </row>
    <row r="33" spans="1:8" ht="33.9" customHeight="1" x14ac:dyDescent="0.25">
      <c r="A33" s="33" t="str">
        <f ca="1">"No. of Original B(s)/L(正本提单份数)      打印人:            报表时间:"&amp;TEXT(NOW(),"yyyy/m/d h:mm")</f>
        <v>No. of Original B(s)/L(正本提单份数)      打印人:            报表时间:2026/5/11 16:32</v>
      </c>
      <c r="B33" s="34"/>
      <c r="C33" s="34"/>
      <c r="D33" s="34"/>
      <c r="E33" s="34"/>
      <c r="F33" s="34"/>
      <c r="G33" s="34"/>
      <c r="H33" s="14"/>
    </row>
    <row r="34" spans="1:8" ht="10.199999999999999" customHeight="1" x14ac:dyDescent="0.25">
      <c r="A34" s="29" t="s">
        <v>71</v>
      </c>
      <c r="B34" s="30"/>
      <c r="C34" s="30"/>
      <c r="D34" s="30"/>
      <c r="E34" s="30"/>
      <c r="F34" s="30"/>
      <c r="G34" s="30"/>
      <c r="H34" s="15"/>
    </row>
  </sheetData>
  <mergeCells count="28">
    <mergeCell ref="F4:G4"/>
    <mergeCell ref="G12:H12"/>
    <mergeCell ref="D10:E10"/>
    <mergeCell ref="F5:H9"/>
    <mergeCell ref="A1:G1"/>
    <mergeCell ref="A8:B8"/>
    <mergeCell ref="C8:D8"/>
    <mergeCell ref="D12:E12"/>
    <mergeCell ref="F10:H10"/>
    <mergeCell ref="A11:C11"/>
    <mergeCell ref="A9:B9"/>
    <mergeCell ref="F3:H3"/>
    <mergeCell ref="F2:H2"/>
    <mergeCell ref="A2:E5"/>
    <mergeCell ref="A32:C32"/>
    <mergeCell ref="A34:G34"/>
    <mergeCell ref="A6:E6"/>
    <mergeCell ref="A33:G33"/>
    <mergeCell ref="B12:C12"/>
    <mergeCell ref="G13:H13"/>
    <mergeCell ref="B31:G31"/>
    <mergeCell ref="D14:E14"/>
    <mergeCell ref="D13:E13"/>
    <mergeCell ref="D11:E11"/>
    <mergeCell ref="A7:E7"/>
    <mergeCell ref="C9:D9"/>
    <mergeCell ref="B13:C13"/>
    <mergeCell ref="A10:C10"/>
  </mergeCells>
  <phoneticPr fontId="18" type="noConversion"/>
  <pageMargins left="0.02" right="0.02" top="0.59" bottom="0.59" header="0" footer="0"/>
  <pageSetup paperSize="9" scale="83" orientation="portrait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shuying jin</cp:lastModifiedBy>
  <cp:revision>1</cp:revision>
  <cp:lastPrinted>2018-03-01T07:08:13Z</cp:lastPrinted>
  <dcterms:created xsi:type="dcterms:W3CDTF">2015-09-25T06:03:26Z</dcterms:created>
  <dcterms:modified xsi:type="dcterms:W3CDTF">2026-05-11T08:32:23Z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89ECEEE83F2945F68895065B2C80D619_12</vt:lpwstr>
  </property>
  <property fmtid="{D5CDD505-2E9C-101B-9397-08002B2CF9AE}" pid="4" name="CalculationRule">
    <vt:r8>0</vt:r8>
  </property>
</Properties>
</file>