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OICE" sheetId="1" state="visible" r:id="rId3"/>
    <sheet name="PACKING LIST" sheetId="2" state="visible" r:id="rId4"/>
    <sheet name="Sheet3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<sst xmlns="http://schemas.openxmlformats.org/spreadsheetml/2006/main" count="158" uniqueCount="89">
  <si>
    <t xml:space="preserve">浙江长江国际有限公司 </t>
  </si>
  <si>
    <t xml:space="preserve">            ZHEJIANG CHEUNG KONG INTERNATIONAL LIMITED</t>
  </si>
  <si>
    <t xml:space="preserve">发票</t>
  </si>
  <si>
    <t xml:space="preserve">第</t>
  </si>
  <si>
    <t xml:space="preserve">YWSJ2602044</t>
  </si>
  <si>
    <t xml:space="preserve">号</t>
  </si>
  <si>
    <t xml:space="preserve">No.</t>
  </si>
  <si>
    <t xml:space="preserve">……………………………</t>
  </si>
  <si>
    <t xml:space="preserve">INVOICE</t>
  </si>
  <si>
    <t xml:space="preserve">日期</t>
  </si>
  <si>
    <r>
      <rPr>
        <sz val="10"/>
        <rFont val="宋体"/>
        <family val="0"/>
        <charset val="134"/>
      </rPr>
      <t xml:space="preserve">{</t>
    </r>
    <r>
      <rPr>
        <sz val="10"/>
        <rFont val="WenQuanYi Zen Hei"/>
        <family val="2"/>
      </rPr>
      <t xml:space="preserve">发票日期</t>
    </r>
    <r>
      <rPr>
        <sz val="10"/>
        <rFont val="宋体"/>
        <family val="0"/>
        <charset val="134"/>
      </rPr>
      <t xml:space="preserve">}</t>
    </r>
  </si>
  <si>
    <r>
      <rPr>
        <sz val="12"/>
        <rFont val="宋体"/>
        <family val="0"/>
        <charset val="134"/>
      </rPr>
      <t xml:space="preserve">Date</t>
    </r>
    <r>
      <rPr>
        <vertAlign val="subscript"/>
        <sz val="12"/>
        <rFont val="宋体"/>
        <family val="0"/>
        <charset val="134"/>
      </rPr>
      <t xml:space="preserve">……………………………………</t>
    </r>
  </si>
  <si>
    <t xml:space="preserve">SIJI SHIPPING L.L.C</t>
  </si>
  <si>
    <t xml:space="preserve">信用证第</t>
  </si>
  <si>
    <t xml:space="preserve">  </t>
  </si>
  <si>
    <t xml:space="preserve">To:…………………………………………………………</t>
  </si>
  <si>
    <t xml:space="preserve">L\C NO:……………………………</t>
  </si>
  <si>
    <r>
      <rPr>
        <sz val="10"/>
        <rFont val="WenQuanYi Zen Hei"/>
        <family val="2"/>
      </rPr>
      <t xml:space="preserve">唛头号码    </t>
    </r>
    <r>
      <rPr>
        <sz val="10"/>
        <rFont val="宋体"/>
        <family val="0"/>
        <charset val="134"/>
      </rPr>
      <t xml:space="preserve">Marks &amp; Numbers</t>
    </r>
  </si>
  <si>
    <r>
      <rPr>
        <sz val="10"/>
        <rFont val="WenQuanYi Zen Hei"/>
        <family val="2"/>
      </rPr>
      <t xml:space="preserve">数量与品名                                  </t>
    </r>
    <r>
      <rPr>
        <sz val="10"/>
        <rFont val="宋体"/>
        <family val="0"/>
        <charset val="134"/>
      </rPr>
      <t xml:space="preserve">Quantities and Descriptions</t>
    </r>
  </si>
  <si>
    <r>
      <rPr>
        <sz val="10"/>
        <rFont val="WenQuanYi Zen Hei"/>
        <family val="2"/>
      </rPr>
      <t xml:space="preserve">单价            </t>
    </r>
    <r>
      <rPr>
        <sz val="10"/>
        <rFont val="宋体"/>
        <family val="0"/>
        <charset val="134"/>
      </rPr>
      <t xml:space="preserve">Unit price</t>
    </r>
  </si>
  <si>
    <r>
      <rPr>
        <sz val="10"/>
        <rFont val="WenQuanYi Zen Hei"/>
        <family val="2"/>
      </rPr>
      <t xml:space="preserve">金额       </t>
    </r>
    <r>
      <rPr>
        <sz val="10"/>
        <rFont val="宋体"/>
        <family val="0"/>
        <charset val="134"/>
      </rPr>
      <t xml:space="preserve">Amount</t>
    </r>
  </si>
  <si>
    <t xml:space="preserve">N\M</t>
  </si>
  <si>
    <t xml:space="preserve">CIF DUBAI</t>
  </si>
  <si>
    <t xml:space="preserve">CTNS</t>
  </si>
  <si>
    <r>
      <rPr>
        <sz val="12"/>
        <rFont val="宋体"/>
        <family val="0"/>
        <charset val="134"/>
      </rPr>
      <t xml:space="preserve">{</t>
    </r>
    <r>
      <rPr>
        <sz val="12"/>
        <rFont val="WenQuanYi Zen Hei"/>
        <family val="2"/>
      </rPr>
      <t xml:space="preserve">商品</t>
    </r>
    <r>
      <rPr>
        <sz val="12"/>
        <rFont val="宋体"/>
        <family val="0"/>
        <charset val="134"/>
      </rPr>
      <t xml:space="preserve">1}</t>
    </r>
  </si>
  <si>
    <t xml:space="preserve">/CTNS</t>
  </si>
  <si>
    <r>
      <rPr>
        <sz val="12"/>
        <rFont val="宋体"/>
        <family val="0"/>
        <charset val="134"/>
      </rPr>
      <t xml:space="preserve">{</t>
    </r>
    <r>
      <rPr>
        <sz val="12"/>
        <rFont val="WenQuanYi Zen Hei"/>
        <family val="2"/>
      </rPr>
      <t xml:space="preserve">商品</t>
    </r>
    <r>
      <rPr>
        <sz val="12"/>
        <rFont val="宋体"/>
        <family val="0"/>
        <charset val="134"/>
      </rPr>
      <t xml:space="preserve">2}</t>
    </r>
  </si>
  <si>
    <r>
      <rPr>
        <sz val="12"/>
        <rFont val="宋体"/>
        <family val="0"/>
        <charset val="134"/>
      </rPr>
      <t xml:space="preserve">{</t>
    </r>
    <r>
      <rPr>
        <sz val="12"/>
        <rFont val="WenQuanYi Zen Hei"/>
        <family val="2"/>
      </rPr>
      <t xml:space="preserve">商品</t>
    </r>
    <r>
      <rPr>
        <sz val="12"/>
        <rFont val="宋体"/>
        <family val="0"/>
        <charset val="134"/>
      </rPr>
      <t xml:space="preserve">3}</t>
    </r>
  </si>
  <si>
    <r>
      <rPr>
        <sz val="12"/>
        <rFont val="宋体"/>
        <family val="0"/>
        <charset val="134"/>
      </rPr>
      <t xml:space="preserve">{</t>
    </r>
    <r>
      <rPr>
        <sz val="12"/>
        <rFont val="WenQuanYi Zen Hei"/>
        <family val="2"/>
      </rPr>
      <t xml:space="preserve">商品</t>
    </r>
    <r>
      <rPr>
        <sz val="12"/>
        <rFont val="宋体"/>
        <family val="0"/>
        <charset val="134"/>
      </rPr>
      <t xml:space="preserve">4}</t>
    </r>
  </si>
  <si>
    <r>
      <rPr>
        <sz val="12"/>
        <rFont val="宋体"/>
        <family val="0"/>
        <charset val="134"/>
      </rPr>
      <t xml:space="preserve">{</t>
    </r>
    <r>
      <rPr>
        <sz val="12"/>
        <rFont val="WenQuanYi Zen Hei"/>
        <family val="2"/>
      </rPr>
      <t xml:space="preserve">商品</t>
    </r>
    <r>
      <rPr>
        <sz val="12"/>
        <rFont val="宋体"/>
        <family val="0"/>
        <charset val="134"/>
      </rPr>
      <t xml:space="preserve">5}</t>
    </r>
  </si>
  <si>
    <r>
      <rPr>
        <sz val="12"/>
        <rFont val="宋体"/>
        <family val="0"/>
        <charset val="134"/>
      </rPr>
      <t xml:space="preserve">{</t>
    </r>
    <r>
      <rPr>
        <sz val="12"/>
        <rFont val="WenQuanYi Zen Hei"/>
        <family val="2"/>
      </rPr>
      <t xml:space="preserve">商品</t>
    </r>
    <r>
      <rPr>
        <sz val="12"/>
        <rFont val="宋体"/>
        <family val="0"/>
        <charset val="134"/>
      </rPr>
      <t xml:space="preserve">6}</t>
    </r>
  </si>
  <si>
    <r>
      <rPr>
        <sz val="12"/>
        <rFont val="宋体"/>
        <family val="0"/>
        <charset val="134"/>
      </rPr>
      <t xml:space="preserve">{</t>
    </r>
    <r>
      <rPr>
        <sz val="12"/>
        <rFont val="WenQuanYi Zen Hei"/>
        <family val="2"/>
      </rPr>
      <t xml:space="preserve">商品</t>
    </r>
    <r>
      <rPr>
        <sz val="12"/>
        <rFont val="宋体"/>
        <family val="0"/>
        <charset val="134"/>
      </rPr>
      <t xml:space="preserve">7}</t>
    </r>
  </si>
  <si>
    <r>
      <rPr>
        <sz val="12"/>
        <rFont val="宋体"/>
        <family val="0"/>
        <charset val="134"/>
      </rPr>
      <t xml:space="preserve">{</t>
    </r>
    <r>
      <rPr>
        <sz val="12"/>
        <rFont val="WenQuanYi Zen Hei"/>
        <family val="2"/>
      </rPr>
      <t xml:space="preserve">商品</t>
    </r>
    <r>
      <rPr>
        <sz val="12"/>
        <rFont val="宋体"/>
        <family val="0"/>
        <charset val="134"/>
      </rPr>
      <t xml:space="preserve">8}</t>
    </r>
  </si>
  <si>
    <r>
      <rPr>
        <sz val="12"/>
        <rFont val="宋体"/>
        <family val="0"/>
        <charset val="134"/>
      </rPr>
      <t xml:space="preserve">{</t>
    </r>
    <r>
      <rPr>
        <sz val="12"/>
        <rFont val="WenQuanYi Zen Hei"/>
        <family val="2"/>
      </rPr>
      <t xml:space="preserve">商品</t>
    </r>
    <r>
      <rPr>
        <sz val="12"/>
        <rFont val="宋体"/>
        <family val="0"/>
        <charset val="134"/>
      </rPr>
      <t xml:space="preserve">9}</t>
    </r>
  </si>
  <si>
    <r>
      <rPr>
        <sz val="12"/>
        <rFont val="宋体"/>
        <family val="0"/>
        <charset val="134"/>
      </rPr>
      <t xml:space="preserve">{</t>
    </r>
    <r>
      <rPr>
        <sz val="12"/>
        <rFont val="WenQuanYi Zen Hei"/>
        <family val="2"/>
      </rPr>
      <t xml:space="preserve">商品</t>
    </r>
    <r>
      <rPr>
        <sz val="12"/>
        <rFont val="宋体"/>
        <family val="0"/>
        <charset val="134"/>
      </rPr>
      <t xml:space="preserve">10}</t>
    </r>
  </si>
  <si>
    <r>
      <rPr>
        <sz val="12"/>
        <rFont val="宋体"/>
        <family val="0"/>
        <charset val="134"/>
      </rPr>
      <t xml:space="preserve">{</t>
    </r>
    <r>
      <rPr>
        <sz val="12"/>
        <rFont val="WenQuanYi Zen Hei"/>
        <family val="2"/>
      </rPr>
      <t xml:space="preserve">商品</t>
    </r>
    <r>
      <rPr>
        <sz val="12"/>
        <rFont val="宋体"/>
        <family val="0"/>
        <charset val="134"/>
      </rPr>
      <t xml:space="preserve">11}</t>
    </r>
  </si>
  <si>
    <r>
      <rPr>
        <sz val="12"/>
        <rFont val="宋体"/>
        <family val="0"/>
        <charset val="134"/>
      </rPr>
      <t xml:space="preserve">{</t>
    </r>
    <r>
      <rPr>
        <sz val="12"/>
        <rFont val="WenQuanYi Zen Hei"/>
        <family val="2"/>
      </rPr>
      <t xml:space="preserve">商品</t>
    </r>
    <r>
      <rPr>
        <sz val="12"/>
        <rFont val="宋体"/>
        <family val="0"/>
        <charset val="134"/>
      </rPr>
      <t xml:space="preserve">12}</t>
    </r>
  </si>
  <si>
    <r>
      <rPr>
        <sz val="12"/>
        <rFont val="宋体"/>
        <family val="0"/>
        <charset val="134"/>
      </rPr>
      <t xml:space="preserve">{</t>
    </r>
    <r>
      <rPr>
        <sz val="12"/>
        <rFont val="WenQuanYi Zen Hei"/>
        <family val="2"/>
      </rPr>
      <t xml:space="preserve">商品</t>
    </r>
    <r>
      <rPr>
        <sz val="12"/>
        <rFont val="宋体"/>
        <family val="0"/>
        <charset val="134"/>
      </rPr>
      <t xml:space="preserve">13}</t>
    </r>
  </si>
  <si>
    <r>
      <rPr>
        <sz val="12"/>
        <rFont val="宋体"/>
        <family val="0"/>
        <charset val="134"/>
      </rPr>
      <t xml:space="preserve">{</t>
    </r>
    <r>
      <rPr>
        <sz val="12"/>
        <rFont val="WenQuanYi Zen Hei"/>
        <family val="2"/>
      </rPr>
      <t xml:space="preserve">商品</t>
    </r>
    <r>
      <rPr>
        <sz val="12"/>
        <rFont val="宋体"/>
        <family val="0"/>
        <charset val="134"/>
      </rPr>
      <t xml:space="preserve">14}</t>
    </r>
  </si>
  <si>
    <r>
      <rPr>
        <sz val="12"/>
        <rFont val="宋体"/>
        <family val="0"/>
        <charset val="134"/>
      </rPr>
      <t xml:space="preserve">{</t>
    </r>
    <r>
      <rPr>
        <sz val="12"/>
        <rFont val="WenQuanYi Zen Hei"/>
        <family val="2"/>
      </rPr>
      <t xml:space="preserve">商品</t>
    </r>
    <r>
      <rPr>
        <sz val="12"/>
        <rFont val="宋体"/>
        <family val="0"/>
        <charset val="134"/>
      </rPr>
      <t xml:space="preserve">15}</t>
    </r>
  </si>
  <si>
    <r>
      <rPr>
        <sz val="12"/>
        <rFont val="宋体"/>
        <family val="0"/>
        <charset val="134"/>
      </rPr>
      <t xml:space="preserve">{</t>
    </r>
    <r>
      <rPr>
        <sz val="12"/>
        <rFont val="WenQuanYi Zen Hei"/>
        <family val="2"/>
      </rPr>
      <t xml:space="preserve">商品</t>
    </r>
    <r>
      <rPr>
        <sz val="12"/>
        <rFont val="宋体"/>
        <family val="0"/>
        <charset val="134"/>
      </rPr>
      <t xml:space="preserve">16}</t>
    </r>
  </si>
  <si>
    <r>
      <rPr>
        <sz val="12"/>
        <rFont val="宋体"/>
        <family val="0"/>
        <charset val="134"/>
      </rPr>
      <t xml:space="preserve">{</t>
    </r>
    <r>
      <rPr>
        <sz val="12"/>
        <rFont val="WenQuanYi Zen Hei"/>
        <family val="2"/>
      </rPr>
      <t xml:space="preserve">商品</t>
    </r>
    <r>
      <rPr>
        <sz val="12"/>
        <rFont val="宋体"/>
        <family val="0"/>
        <charset val="134"/>
      </rPr>
      <t xml:space="preserve">17}</t>
    </r>
  </si>
  <si>
    <r>
      <rPr>
        <sz val="12"/>
        <rFont val="宋体"/>
        <family val="0"/>
        <charset val="134"/>
      </rPr>
      <t xml:space="preserve">{</t>
    </r>
    <r>
      <rPr>
        <sz val="12"/>
        <rFont val="WenQuanYi Zen Hei"/>
        <family val="2"/>
      </rPr>
      <t xml:space="preserve">商品</t>
    </r>
    <r>
      <rPr>
        <sz val="12"/>
        <rFont val="宋体"/>
        <family val="0"/>
        <charset val="134"/>
      </rPr>
      <t xml:space="preserve">18}</t>
    </r>
  </si>
  <si>
    <r>
      <rPr>
        <sz val="12"/>
        <rFont val="宋体"/>
        <family val="0"/>
        <charset val="134"/>
      </rPr>
      <t xml:space="preserve">{</t>
    </r>
    <r>
      <rPr>
        <sz val="12"/>
        <rFont val="WenQuanYi Zen Hei"/>
        <family val="2"/>
      </rPr>
      <t xml:space="preserve">商品</t>
    </r>
    <r>
      <rPr>
        <sz val="12"/>
        <rFont val="宋体"/>
        <family val="0"/>
        <charset val="134"/>
      </rPr>
      <t xml:space="preserve">19}</t>
    </r>
  </si>
  <si>
    <r>
      <rPr>
        <sz val="12"/>
        <rFont val="宋体"/>
        <family val="0"/>
        <charset val="134"/>
      </rPr>
      <t xml:space="preserve">{</t>
    </r>
    <r>
      <rPr>
        <sz val="12"/>
        <rFont val="WenQuanYi Zen Hei"/>
        <family val="2"/>
      </rPr>
      <t xml:space="preserve">商品</t>
    </r>
    <r>
      <rPr>
        <sz val="12"/>
        <rFont val="宋体"/>
        <family val="0"/>
        <charset val="134"/>
      </rPr>
      <t xml:space="preserve">20}</t>
    </r>
  </si>
  <si>
    <r>
      <rPr>
        <sz val="12"/>
        <rFont val="宋体"/>
        <family val="0"/>
        <charset val="134"/>
      </rPr>
      <t xml:space="preserve">{</t>
    </r>
    <r>
      <rPr>
        <sz val="12"/>
        <rFont val="WenQuanYi Zen Hei"/>
        <family val="2"/>
      </rPr>
      <t xml:space="preserve">商品</t>
    </r>
    <r>
      <rPr>
        <sz val="12"/>
        <rFont val="宋体"/>
        <family val="0"/>
        <charset val="134"/>
      </rPr>
      <t xml:space="preserve">21}</t>
    </r>
  </si>
  <si>
    <r>
      <rPr>
        <sz val="12"/>
        <rFont val="宋体"/>
        <family val="0"/>
        <charset val="134"/>
      </rPr>
      <t xml:space="preserve">{</t>
    </r>
    <r>
      <rPr>
        <sz val="12"/>
        <rFont val="WenQuanYi Zen Hei"/>
        <family val="2"/>
      </rPr>
      <t xml:space="preserve">商品</t>
    </r>
    <r>
      <rPr>
        <sz val="12"/>
        <rFont val="宋体"/>
        <family val="0"/>
        <charset val="134"/>
      </rPr>
      <t xml:space="preserve">22}</t>
    </r>
  </si>
  <si>
    <t xml:space="preserve">TOTAL:</t>
  </si>
  <si>
    <t xml:space="preserve"> </t>
  </si>
  <si>
    <t xml:space="preserve">浙江长江国际有限公司  </t>
  </si>
  <si>
    <t xml:space="preserve">   ZHEJIANG CHEUNG KONG INTERNATIONAL LIMITED</t>
  </si>
  <si>
    <t xml:space="preserve">FEB.04.2026</t>
  </si>
  <si>
    <r>
      <rPr>
        <b val="true"/>
        <sz val="26"/>
        <rFont val="WenQuanYi Zen Hei"/>
        <family val="2"/>
      </rPr>
      <t xml:space="preserve">装  箱  单 </t>
    </r>
    <r>
      <rPr>
        <b val="true"/>
        <sz val="22"/>
        <rFont val="WenQuanYi Zen Hei"/>
        <family val="2"/>
      </rPr>
      <t xml:space="preserve"> </t>
    </r>
    <r>
      <rPr>
        <b val="true"/>
        <sz val="12"/>
        <rFont val="WenQuanYi Zen Hei"/>
        <family val="2"/>
      </rPr>
      <t xml:space="preserve">（重量单）</t>
    </r>
  </si>
  <si>
    <t xml:space="preserve">Date…………………………………</t>
  </si>
  <si>
    <r>
      <rPr>
        <sz val="10"/>
        <rFont val="WenQuanYi Zen Hei"/>
        <family val="2"/>
      </rPr>
      <t xml:space="preserve">发票号码    </t>
    </r>
    <r>
      <rPr>
        <sz val="10"/>
        <rFont val="宋体"/>
        <family val="0"/>
        <charset val="134"/>
      </rPr>
      <t xml:space="preserve">YWSJ2602044</t>
    </r>
  </si>
  <si>
    <t xml:space="preserve">Invoice No…………………………</t>
  </si>
  <si>
    <t xml:space="preserve">PACKING LIST (Weight List)</t>
  </si>
  <si>
    <t xml:space="preserve">CTN.NO</t>
  </si>
  <si>
    <t xml:space="preserve">Description</t>
  </si>
  <si>
    <t xml:space="preserve">Quantity</t>
  </si>
  <si>
    <t xml:space="preserve">Unit</t>
  </si>
  <si>
    <t xml:space="preserve">CTN</t>
  </si>
  <si>
    <t xml:space="preserve">G.W (KGS)</t>
  </si>
  <si>
    <t xml:space="preserve">N.W (KGS)</t>
  </si>
  <si>
    <t xml:space="preserve">PLASTIC CAP</t>
  </si>
  <si>
    <t xml:space="preserve">PCS</t>
  </si>
  <si>
    <t xml:space="preserve">HAIR BAND</t>
  </si>
  <si>
    <t xml:space="preserve">POLYESTER FABRIC</t>
  </si>
  <si>
    <t xml:space="preserve">IRON DISPLAY</t>
  </si>
  <si>
    <t xml:space="preserve">MAT</t>
  </si>
  <si>
    <t xml:space="preserve">FITNESS EQUIPMENT</t>
  </si>
  <si>
    <t xml:space="preserve">CLOTHES RACK</t>
  </si>
  <si>
    <t xml:space="preserve">MEASURE TAPE</t>
  </si>
  <si>
    <t xml:space="preserve">GLASS BOTTLE</t>
  </si>
  <si>
    <t xml:space="preserve">DOZ</t>
  </si>
  <si>
    <t xml:space="preserve">IRON CAP</t>
  </si>
  <si>
    <t xml:space="preserve">STORAGE BOX</t>
  </si>
  <si>
    <t xml:space="preserve">STORAGE RACK</t>
  </si>
  <si>
    <t xml:space="preserve">DRILL BIT</t>
  </si>
  <si>
    <t xml:space="preserve">FLOOR DRAIN</t>
  </si>
  <si>
    <t xml:space="preserve">NOTEBOOK</t>
  </si>
  <si>
    <t xml:space="preserve">PHOTO FRAME</t>
  </si>
  <si>
    <t xml:space="preserve">CHAIR</t>
  </si>
  <si>
    <t xml:space="preserve">BABY CARRIAGES</t>
  </si>
  <si>
    <t xml:space="preserve">SHELF</t>
  </si>
  <si>
    <t xml:space="preserve">TENT</t>
  </si>
  <si>
    <t xml:space="preserve">CABINET</t>
  </si>
  <si>
    <t xml:space="preserve">HOUSEHOLD ITEMS</t>
  </si>
  <si>
    <t xml:space="preserve">                                 TOTAL: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</si>
</sst>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USD]\ #,##0.00;[$USD]&quot; -&quot;#,##0.00"/>
    <numFmt numFmtId="166" formatCode="[$USD]\ #,##0.00_);[RED]\([$USD]\ #,##0.00\)"/>
    <numFmt numFmtId="167" formatCode="General"/>
    <numFmt numFmtId="168" formatCode="0_ "/>
  </numFmts>
  <fonts count="27">
    <font>
      <sz val="12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name val="WenQuanYi Zen Hei"/>
      <family val="2"/>
    </font>
    <font>
      <sz val="20"/>
      <name val="宋体"/>
      <family val="0"/>
      <charset val="134"/>
    </font>
    <font>
      <b val="true"/>
      <sz val="18"/>
      <name val="宋体"/>
      <family val="0"/>
      <charset val="134"/>
    </font>
    <font>
      <sz val="24"/>
      <name val="WenQuanYi Zen Hei"/>
      <family val="2"/>
    </font>
    <font>
      <sz val="10"/>
      <name val="WenQuanYi Zen Hei"/>
      <family val="2"/>
    </font>
    <font>
      <sz val="10"/>
      <name val="宋体"/>
      <family val="0"/>
      <charset val="134"/>
    </font>
    <font>
      <sz val="16"/>
      <name val="Times New Roman"/>
      <family val="1"/>
    </font>
    <font>
      <vertAlign val="subscript"/>
      <sz val="12"/>
      <name val="宋体"/>
      <family val="0"/>
      <charset val="134"/>
    </font>
    <font>
      <sz val="12"/>
      <name val="Times New Roman"/>
      <family val="1"/>
    </font>
    <font>
      <sz val="12"/>
      <name val="WenQuanYi Zen Hei"/>
      <family val="2"/>
    </font>
    <font>
      <sz val="11"/>
      <name val="Times New Roman"/>
      <family val="1"/>
    </font>
    <font>
      <sz val="10"/>
      <name val="Times New Roman"/>
      <family val="1"/>
    </font>
    <font>
      <b val="true"/>
      <sz val="12"/>
      <name val="宋体"/>
      <family val="0"/>
      <charset val="134"/>
    </font>
    <font>
      <b val="true"/>
      <sz val="16"/>
      <name val="宋体"/>
      <family val="0"/>
      <charset val="134"/>
    </font>
    <font>
      <b val="true"/>
      <sz val="26"/>
      <name val="WenQuanYi Zen Hei"/>
      <family val="2"/>
    </font>
    <font>
      <b val="true"/>
      <sz val="22"/>
      <name val="WenQuanYi Zen Hei"/>
      <family val="2"/>
    </font>
    <font>
      <b val="true"/>
      <sz val="12"/>
      <name val="WenQuanYi Zen Hei"/>
      <family val="2"/>
    </font>
    <font>
      <b val="true"/>
      <u val="single"/>
      <sz val="18"/>
      <name val="Times New Roman"/>
      <family val="1"/>
    </font>
    <font>
      <b val="true"/>
      <sz val="12"/>
      <name val="Times New Roman"/>
      <family val="1"/>
    </font>
    <font>
      <sz val="9"/>
      <color rgb="FF333333"/>
      <name val="Arial"/>
      <family val="2"/>
    </font>
    <font>
      <b val="true"/>
      <sz val="20"/>
      <name val="Times New Roman"/>
      <family val="1"/>
    </font>
    <font>
      <b val="true"/>
      <sz val="18"/>
      <name val="Times New Roman"/>
      <family val="1"/>
    </font>
    <font>
      <b val="true"/>
      <sz val="12"/>
      <color rgb="FFFF0000"/>
      <name val="宋体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76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4" fillId="0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6" fontId="1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1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6" fontId="1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2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12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6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5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8" fontId="1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justify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常规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O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99609375" defaultRowHeight="15.6" zeroHeight="false" outlineLevelRow="0" outlineLevelCol="0"/>
  <cols>
    <col collapsed="false" customWidth="true" hidden="false" outlineLevel="0" max="1" min="1" style="0" width="16.39"/>
    <col collapsed="false" customWidth="true" hidden="false" outlineLevel="0" max="2" min="2" style="0" width="1.89"/>
    <col collapsed="false" customWidth="true" hidden="false" outlineLevel="0" max="4" min="3" style="0" width="4.89"/>
    <col collapsed="false" customWidth="true" hidden="false" outlineLevel="0" max="5" min="5" style="0" width="33.5"/>
    <col collapsed="false" customWidth="true" hidden="false" outlineLevel="0" max="6" min="6" style="0" width="10.99"/>
    <col collapsed="false" customWidth="true" hidden="false" outlineLevel="0" max="8" min="7" style="0" width="6.59"/>
    <col collapsed="false" customWidth="true" hidden="false" outlineLevel="0" max="9" min="9" style="0" width="4.19"/>
    <col collapsed="false" customWidth="true" hidden="false" outlineLevel="0" max="10" min="10" style="0" width="4.09"/>
    <col collapsed="false" customWidth="true" hidden="false" outlineLevel="0" max="13" min="13" style="0" width="12.69"/>
  </cols>
  <sheetData>
    <row r="2" s="2" customFormat="true" ht="23.25" hidden="false" customHeight="true" outlineLevel="0" collapsed="false">
      <c r="A2" s="1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customFormat="false" ht="21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customFormat="false" ht="15" hidden="false" customHeight="true" outlineLevel="0" collapsed="false">
      <c r="E4" s="4" t="s">
        <v>2</v>
      </c>
      <c r="F4" s="5" t="s">
        <v>3</v>
      </c>
      <c r="G4" s="6" t="s">
        <v>4</v>
      </c>
      <c r="H4" s="6"/>
      <c r="I4" s="5" t="s">
        <v>5</v>
      </c>
      <c r="L4" s="7"/>
    </row>
    <row r="5" customFormat="false" ht="14.25" hidden="false" customHeight="true" outlineLevel="0" collapsed="false">
      <c r="E5" s="4"/>
      <c r="F5" s="8" t="s">
        <v>6</v>
      </c>
      <c r="G5" s="9" t="s">
        <v>7</v>
      </c>
      <c r="H5" s="5"/>
      <c r="I5" s="5"/>
      <c r="K5" s="7"/>
    </row>
    <row r="6" customFormat="false" ht="15" hidden="false" customHeight="true" outlineLevel="0" collapsed="false">
      <c r="E6" s="10" t="s">
        <v>8</v>
      </c>
      <c r="F6" s="5" t="s">
        <v>9</v>
      </c>
      <c r="G6" s="6" t="s">
        <v>10</v>
      </c>
      <c r="H6" s="6"/>
      <c r="I6" s="11"/>
      <c r="L6" s="7"/>
    </row>
    <row r="7" customFormat="false" ht="17.25" hidden="false" customHeight="true" outlineLevel="0" collapsed="false">
      <c r="A7" s="12"/>
      <c r="E7" s="10"/>
      <c r="F7" s="13" t="s">
        <v>11</v>
      </c>
      <c r="K7" s="7"/>
      <c r="L7" s="7"/>
    </row>
    <row r="8" customFormat="false" ht="18.75" hidden="false" customHeight="true" outlineLevel="0" collapsed="false">
      <c r="A8" s="14" t="s">
        <v>12</v>
      </c>
      <c r="B8" s="12"/>
      <c r="C8" s="12"/>
      <c r="D8" s="12"/>
      <c r="F8" s="15" t="s">
        <v>13</v>
      </c>
      <c r="G8" s="16"/>
      <c r="H8" s="17"/>
      <c r="I8" s="18" t="s">
        <v>5</v>
      </c>
      <c r="O8" s="0" t="s">
        <v>14</v>
      </c>
    </row>
    <row r="9" customFormat="false" ht="17.25" hidden="false" customHeight="true" outlineLevel="0" collapsed="false">
      <c r="A9" s="0" t="s">
        <v>15</v>
      </c>
      <c r="F9" s="19" t="s">
        <v>16</v>
      </c>
      <c r="L9" s="7"/>
    </row>
    <row r="10" customFormat="false" ht="25.5" hidden="false" customHeight="true" outlineLevel="0" collapsed="false">
      <c r="A10" s="20" t="s">
        <v>17</v>
      </c>
      <c r="B10" s="21"/>
      <c r="C10" s="22" t="s">
        <v>18</v>
      </c>
      <c r="D10" s="22"/>
      <c r="E10" s="22"/>
      <c r="F10" s="23" t="s">
        <v>19</v>
      </c>
      <c r="G10" s="23"/>
      <c r="H10" s="24" t="s">
        <v>20</v>
      </c>
      <c r="I10" s="24"/>
      <c r="J10" s="24"/>
    </row>
    <row r="11" customFormat="false" ht="15.75" hidden="false" customHeight="true" outlineLevel="0" collapsed="false">
      <c r="A11" s="25" t="s">
        <v>21</v>
      </c>
      <c r="B11" s="26"/>
      <c r="C11" s="27"/>
      <c r="D11" s="27"/>
      <c r="E11" s="28"/>
      <c r="F11" s="29" t="s">
        <v>22</v>
      </c>
      <c r="G11" s="29"/>
      <c r="H11" s="27"/>
      <c r="I11" s="27"/>
      <c r="J11" s="30"/>
    </row>
    <row r="12" customFormat="false" ht="15.6" hidden="false" customHeight="false" outlineLevel="0" collapsed="false">
      <c r="A12" s="25"/>
      <c r="B12" s="25"/>
      <c r="C12" s="31" t="n">
        <v>14</v>
      </c>
      <c r="D12" s="12" t="s">
        <v>23</v>
      </c>
      <c r="E12" s="32" t="s">
        <v>24</v>
      </c>
      <c r="F12" s="33" t="n">
        <v>11</v>
      </c>
      <c r="G12" s="34" t="s">
        <v>25</v>
      </c>
      <c r="H12" s="35" t="n">
        <f aca="false">F12*C12</f>
        <v>154</v>
      </c>
      <c r="I12" s="35"/>
      <c r="J12" s="35"/>
    </row>
    <row r="13" customFormat="false" ht="15.6" hidden="false" customHeight="false" outlineLevel="0" collapsed="false">
      <c r="A13" s="25"/>
      <c r="B13" s="25"/>
      <c r="C13" s="31" t="n">
        <v>50</v>
      </c>
      <c r="D13" s="12" t="s">
        <v>23</v>
      </c>
      <c r="E13" s="32" t="s">
        <v>26</v>
      </c>
      <c r="F13" s="33" t="n">
        <v>12</v>
      </c>
      <c r="G13" s="34" t="s">
        <v>25</v>
      </c>
      <c r="H13" s="35" t="n">
        <f aca="false">F13*C13</f>
        <v>600</v>
      </c>
      <c r="I13" s="35"/>
      <c r="J13" s="35"/>
    </row>
    <row r="14" customFormat="false" ht="15.6" hidden="false" customHeight="false" outlineLevel="0" collapsed="false">
      <c r="A14" s="25"/>
      <c r="B14" s="25"/>
      <c r="C14" s="31" t="n">
        <v>10</v>
      </c>
      <c r="D14" s="12" t="s">
        <v>23</v>
      </c>
      <c r="E14" s="32" t="s">
        <v>27</v>
      </c>
      <c r="F14" s="33" t="n">
        <v>23</v>
      </c>
      <c r="G14" s="34" t="s">
        <v>25</v>
      </c>
      <c r="H14" s="35" t="n">
        <f aca="false">F14*C14</f>
        <v>230</v>
      </c>
      <c r="I14" s="35"/>
      <c r="J14" s="35"/>
    </row>
    <row r="15" customFormat="false" ht="15.6" hidden="false" customHeight="false" outlineLevel="0" collapsed="false">
      <c r="A15" s="25"/>
      <c r="B15" s="25"/>
      <c r="C15" s="31" t="n">
        <v>55</v>
      </c>
      <c r="D15" s="12" t="s">
        <v>23</v>
      </c>
      <c r="E15" s="32" t="s">
        <v>28</v>
      </c>
      <c r="F15" s="33" t="n">
        <v>21</v>
      </c>
      <c r="G15" s="34" t="s">
        <v>25</v>
      </c>
      <c r="H15" s="35" t="n">
        <f aca="false">F15*C15</f>
        <v>1155</v>
      </c>
      <c r="I15" s="35"/>
      <c r="J15" s="35"/>
    </row>
    <row r="16" customFormat="false" ht="15.6" hidden="false" customHeight="false" outlineLevel="0" collapsed="false">
      <c r="A16" s="25"/>
      <c r="B16" s="25"/>
      <c r="C16" s="31" t="n">
        <v>48</v>
      </c>
      <c r="D16" s="12" t="s">
        <v>23</v>
      </c>
      <c r="E16" s="32" t="s">
        <v>29</v>
      </c>
      <c r="F16" s="33" t="n">
        <v>24</v>
      </c>
      <c r="G16" s="34" t="s">
        <v>25</v>
      </c>
      <c r="H16" s="35" t="n">
        <f aca="false">F16*C16</f>
        <v>1152</v>
      </c>
      <c r="I16" s="35"/>
      <c r="J16" s="35"/>
    </row>
    <row r="17" customFormat="false" ht="15.6" hidden="false" customHeight="false" outlineLevel="0" collapsed="false">
      <c r="A17" s="25"/>
      <c r="B17" s="25"/>
      <c r="C17" s="31" t="n">
        <v>16</v>
      </c>
      <c r="D17" s="12" t="s">
        <v>23</v>
      </c>
      <c r="E17" s="32" t="s">
        <v>30</v>
      </c>
      <c r="F17" s="33" t="n">
        <v>25</v>
      </c>
      <c r="G17" s="34" t="s">
        <v>25</v>
      </c>
      <c r="H17" s="35" t="n">
        <f aca="false">F17*C17</f>
        <v>400</v>
      </c>
      <c r="I17" s="35"/>
      <c r="J17" s="35"/>
    </row>
    <row r="18" customFormat="false" ht="15.6" hidden="false" customHeight="false" outlineLevel="0" collapsed="false">
      <c r="A18" s="25"/>
      <c r="B18" s="25"/>
      <c r="C18" s="31" t="n">
        <v>36</v>
      </c>
      <c r="D18" s="12" t="s">
        <v>23</v>
      </c>
      <c r="E18" s="32" t="s">
        <v>31</v>
      </c>
      <c r="F18" s="33" t="n">
        <v>13</v>
      </c>
      <c r="G18" s="34" t="s">
        <v>25</v>
      </c>
      <c r="H18" s="35" t="n">
        <f aca="false">F18*C18</f>
        <v>468</v>
      </c>
      <c r="I18" s="35"/>
      <c r="J18" s="35"/>
    </row>
    <row r="19" customFormat="false" ht="15.6" hidden="false" customHeight="false" outlineLevel="0" collapsed="false">
      <c r="A19" s="25"/>
      <c r="B19" s="25"/>
      <c r="C19" s="31" t="n">
        <v>60</v>
      </c>
      <c r="D19" s="12" t="s">
        <v>23</v>
      </c>
      <c r="E19" s="32" t="s">
        <v>32</v>
      </c>
      <c r="F19" s="33" t="n">
        <v>19</v>
      </c>
      <c r="G19" s="34" t="s">
        <v>25</v>
      </c>
      <c r="H19" s="35" t="n">
        <f aca="false">F19*C19</f>
        <v>1140</v>
      </c>
      <c r="I19" s="35"/>
      <c r="J19" s="35"/>
    </row>
    <row r="20" customFormat="false" ht="15.6" hidden="false" customHeight="false" outlineLevel="0" collapsed="false">
      <c r="A20" s="25"/>
      <c r="B20" s="25"/>
      <c r="C20" s="31" t="n">
        <v>418</v>
      </c>
      <c r="D20" s="12" t="s">
        <v>23</v>
      </c>
      <c r="E20" s="32" t="s">
        <v>33</v>
      </c>
      <c r="F20" s="33" t="n">
        <v>2</v>
      </c>
      <c r="G20" s="34" t="s">
        <v>25</v>
      </c>
      <c r="H20" s="35" t="n">
        <f aca="false">F20*C20</f>
        <v>836</v>
      </c>
      <c r="I20" s="35"/>
      <c r="J20" s="35"/>
    </row>
    <row r="21" customFormat="false" ht="15.6" hidden="false" customHeight="false" outlineLevel="0" collapsed="false">
      <c r="A21" s="25"/>
      <c r="B21" s="25"/>
      <c r="C21" s="31" t="n">
        <v>7</v>
      </c>
      <c r="D21" s="12" t="s">
        <v>23</v>
      </c>
      <c r="E21" s="32" t="s">
        <v>34</v>
      </c>
      <c r="F21" s="33" t="n">
        <v>12</v>
      </c>
      <c r="G21" s="34" t="s">
        <v>25</v>
      </c>
      <c r="H21" s="35" t="n">
        <f aca="false">F21*C21</f>
        <v>84</v>
      </c>
      <c r="I21" s="35"/>
      <c r="J21" s="35"/>
    </row>
    <row r="22" customFormat="false" ht="15.6" hidden="false" customHeight="false" outlineLevel="0" collapsed="false">
      <c r="A22" s="25"/>
      <c r="B22" s="25"/>
      <c r="C22" s="31" t="n">
        <v>13</v>
      </c>
      <c r="D22" s="12" t="s">
        <v>23</v>
      </c>
      <c r="E22" s="32" t="s">
        <v>35</v>
      </c>
      <c r="F22" s="33" t="n">
        <v>11</v>
      </c>
      <c r="G22" s="34" t="s">
        <v>25</v>
      </c>
      <c r="H22" s="35" t="n">
        <f aca="false">F22*C22</f>
        <v>143</v>
      </c>
      <c r="I22" s="35"/>
      <c r="J22" s="35"/>
    </row>
    <row r="23" customFormat="false" ht="15.6" hidden="false" customHeight="false" outlineLevel="0" collapsed="false">
      <c r="A23" s="25"/>
      <c r="B23" s="25"/>
      <c r="C23" s="31" t="n">
        <v>55</v>
      </c>
      <c r="D23" s="12" t="s">
        <v>23</v>
      </c>
      <c r="E23" s="32" t="s">
        <v>36</v>
      </c>
      <c r="F23" s="33" t="n">
        <v>11</v>
      </c>
      <c r="G23" s="34" t="s">
        <v>25</v>
      </c>
      <c r="H23" s="35" t="n">
        <f aca="false">F23*C23</f>
        <v>605</v>
      </c>
      <c r="I23" s="35"/>
      <c r="J23" s="35"/>
    </row>
    <row r="24" customFormat="false" ht="15.6" hidden="false" customHeight="false" outlineLevel="0" collapsed="false">
      <c r="A24" s="25"/>
      <c r="B24" s="25"/>
      <c r="C24" s="31" t="n">
        <v>5</v>
      </c>
      <c r="D24" s="12" t="s">
        <v>23</v>
      </c>
      <c r="E24" s="32" t="s">
        <v>37</v>
      </c>
      <c r="F24" s="33" t="n">
        <v>14</v>
      </c>
      <c r="G24" s="34" t="s">
        <v>25</v>
      </c>
      <c r="H24" s="35" t="n">
        <f aca="false">F24*C24</f>
        <v>70</v>
      </c>
      <c r="I24" s="35"/>
      <c r="J24" s="35"/>
    </row>
    <row r="25" customFormat="false" ht="15.6" hidden="false" customHeight="false" outlineLevel="0" collapsed="false">
      <c r="A25" s="25"/>
      <c r="B25" s="25"/>
      <c r="C25" s="31" t="n">
        <v>84</v>
      </c>
      <c r="D25" s="12" t="s">
        <v>23</v>
      </c>
      <c r="E25" s="32" t="s">
        <v>38</v>
      </c>
      <c r="F25" s="33" t="n">
        <v>12</v>
      </c>
      <c r="G25" s="34" t="s">
        <v>25</v>
      </c>
      <c r="H25" s="35" t="n">
        <f aca="false">F25*C25</f>
        <v>1008</v>
      </c>
      <c r="I25" s="35"/>
      <c r="J25" s="35"/>
    </row>
    <row r="26" customFormat="false" ht="15.6" hidden="false" customHeight="false" outlineLevel="0" collapsed="false">
      <c r="A26" s="25"/>
      <c r="B26" s="25"/>
      <c r="C26" s="31" t="n">
        <v>18</v>
      </c>
      <c r="D26" s="12" t="s">
        <v>23</v>
      </c>
      <c r="E26" s="32" t="s">
        <v>39</v>
      </c>
      <c r="F26" s="33" t="n">
        <v>12</v>
      </c>
      <c r="G26" s="34" t="s">
        <v>25</v>
      </c>
      <c r="H26" s="35" t="n">
        <f aca="false">F26*C26</f>
        <v>216</v>
      </c>
      <c r="I26" s="35"/>
      <c r="J26" s="35"/>
    </row>
    <row r="27" customFormat="false" ht="15.6" hidden="false" customHeight="false" outlineLevel="0" collapsed="false">
      <c r="A27" s="25"/>
      <c r="B27" s="25"/>
      <c r="C27" s="31" t="n">
        <v>9</v>
      </c>
      <c r="D27" s="12" t="s">
        <v>23</v>
      </c>
      <c r="E27" s="32" t="s">
        <v>40</v>
      </c>
      <c r="F27" s="33" t="n">
        <v>6</v>
      </c>
      <c r="G27" s="34" t="s">
        <v>25</v>
      </c>
      <c r="H27" s="35" t="n">
        <f aca="false">F27*C27</f>
        <v>54</v>
      </c>
      <c r="I27" s="35"/>
      <c r="J27" s="35"/>
    </row>
    <row r="28" customFormat="false" ht="15.6" hidden="false" customHeight="false" outlineLevel="0" collapsed="false">
      <c r="A28" s="25"/>
      <c r="B28" s="25"/>
      <c r="C28" s="31" t="n">
        <v>11</v>
      </c>
      <c r="D28" s="12" t="s">
        <v>23</v>
      </c>
      <c r="E28" s="32" t="s">
        <v>41</v>
      </c>
      <c r="F28" s="33" t="n">
        <v>23</v>
      </c>
      <c r="G28" s="34" t="s">
        <v>25</v>
      </c>
      <c r="H28" s="35" t="n">
        <f aca="false">F28*C28</f>
        <v>253</v>
      </c>
      <c r="I28" s="35"/>
      <c r="J28" s="35"/>
    </row>
    <row r="29" customFormat="false" ht="15.6" hidden="false" customHeight="false" outlineLevel="0" collapsed="false">
      <c r="A29" s="25"/>
      <c r="B29" s="25"/>
      <c r="C29" s="31" t="n">
        <v>7</v>
      </c>
      <c r="D29" s="12" t="s">
        <v>23</v>
      </c>
      <c r="E29" s="32" t="s">
        <v>42</v>
      </c>
      <c r="F29" s="33" t="n">
        <v>12</v>
      </c>
      <c r="G29" s="34" t="s">
        <v>25</v>
      </c>
      <c r="H29" s="35" t="n">
        <f aca="false">F29*C29</f>
        <v>84</v>
      </c>
      <c r="I29" s="35"/>
      <c r="J29" s="35"/>
    </row>
    <row r="30" customFormat="false" ht="15.6" hidden="false" customHeight="false" outlineLevel="0" collapsed="false">
      <c r="A30" s="25"/>
      <c r="B30" s="25"/>
      <c r="C30" s="31" t="n">
        <v>4</v>
      </c>
      <c r="D30" s="12" t="s">
        <v>23</v>
      </c>
      <c r="E30" s="32" t="s">
        <v>43</v>
      </c>
      <c r="F30" s="33" t="n">
        <v>12</v>
      </c>
      <c r="G30" s="34" t="s">
        <v>25</v>
      </c>
      <c r="H30" s="35" t="n">
        <f aca="false">F30*C30</f>
        <v>48</v>
      </c>
      <c r="I30" s="35"/>
      <c r="J30" s="35"/>
    </row>
    <row r="31" customFormat="false" ht="15.6" hidden="false" customHeight="false" outlineLevel="0" collapsed="false">
      <c r="A31" s="25"/>
      <c r="B31" s="25"/>
      <c r="C31" s="31" t="n">
        <v>13</v>
      </c>
      <c r="D31" s="12" t="s">
        <v>23</v>
      </c>
      <c r="E31" s="32" t="s">
        <v>44</v>
      </c>
      <c r="F31" s="33" t="n">
        <v>12</v>
      </c>
      <c r="G31" s="34" t="s">
        <v>25</v>
      </c>
      <c r="H31" s="35" t="n">
        <f aca="false">F31*C31</f>
        <v>156</v>
      </c>
      <c r="I31" s="35"/>
      <c r="J31" s="35"/>
    </row>
    <row r="32" customFormat="false" ht="18" hidden="false" customHeight="true" outlineLevel="0" collapsed="false">
      <c r="A32" s="25"/>
      <c r="B32" s="25"/>
      <c r="C32" s="31" t="n">
        <v>6</v>
      </c>
      <c r="D32" s="12" t="s">
        <v>23</v>
      </c>
      <c r="E32" s="32" t="s">
        <v>45</v>
      </c>
      <c r="F32" s="33" t="n">
        <v>21</v>
      </c>
      <c r="G32" s="34" t="s">
        <v>25</v>
      </c>
      <c r="H32" s="35" t="n">
        <f aca="false">F32*C32</f>
        <v>126</v>
      </c>
      <c r="I32" s="35"/>
      <c r="J32" s="35"/>
    </row>
    <row r="33" customFormat="false" ht="15.6" hidden="false" customHeight="false" outlineLevel="0" collapsed="false">
      <c r="A33" s="25"/>
      <c r="B33" s="25"/>
      <c r="C33" s="31" t="n">
        <v>170</v>
      </c>
      <c r="D33" s="12" t="s">
        <v>23</v>
      </c>
      <c r="E33" s="32" t="s">
        <v>46</v>
      </c>
      <c r="F33" s="33" t="n">
        <v>12</v>
      </c>
      <c r="G33" s="34" t="s">
        <v>25</v>
      </c>
      <c r="H33" s="35" t="n">
        <f aca="false">F33*C33</f>
        <v>2040</v>
      </c>
      <c r="I33" s="35"/>
      <c r="J33" s="35"/>
    </row>
    <row r="34" customFormat="false" ht="15.6" hidden="false" customHeight="false" outlineLevel="0" collapsed="false">
      <c r="A34" s="25"/>
      <c r="B34" s="25"/>
      <c r="C34" s="31"/>
      <c r="D34" s="12"/>
      <c r="E34" s="36"/>
      <c r="F34" s="33"/>
      <c r="G34" s="34"/>
      <c r="H34" s="37"/>
      <c r="I34" s="38"/>
      <c r="J34" s="39"/>
    </row>
    <row r="35" customFormat="false" ht="17.25" hidden="false" customHeight="true" outlineLevel="0" collapsed="false">
      <c r="A35" s="40" t="s">
        <v>47</v>
      </c>
      <c r="B35" s="41"/>
      <c r="C35" s="42" t="n">
        <f aca="false">SUM(C12:C34)</f>
        <v>1109</v>
      </c>
      <c r="D35" s="43" t="s">
        <v>23</v>
      </c>
      <c r="E35" s="44"/>
      <c r="F35" s="45"/>
      <c r="G35" s="46"/>
      <c r="H35" s="47" t="n">
        <f aca="false">SUM(H12:J34)</f>
        <v>11022</v>
      </c>
      <c r="I35" s="47"/>
      <c r="J35" s="47"/>
    </row>
    <row r="36" customFormat="false" ht="15.6" hidden="false" customHeight="false" outlineLevel="0" collapsed="false">
      <c r="H36" s="48"/>
      <c r="J36" s="48"/>
    </row>
    <row r="40" customFormat="false" ht="15.6" hidden="false" customHeight="false" outlineLevel="0" collapsed="false">
      <c r="H40" s="0" t="s">
        <v>48</v>
      </c>
    </row>
    <row r="43" customFormat="false" ht="15.6" hidden="false" customHeight="false" outlineLevel="0" collapsed="false">
      <c r="E43" s="0" t="s">
        <v>48</v>
      </c>
    </row>
  </sheetData>
  <mergeCells count="33">
    <mergeCell ref="A2:K2"/>
    <mergeCell ref="A3:K3"/>
    <mergeCell ref="E4:E5"/>
    <mergeCell ref="G4:H4"/>
    <mergeCell ref="E6:E7"/>
    <mergeCell ref="G6:H6"/>
    <mergeCell ref="C10:E10"/>
    <mergeCell ref="F10:G10"/>
    <mergeCell ref="H10:J10"/>
    <mergeCell ref="F11:G11"/>
    <mergeCell ref="H12:J12"/>
    <mergeCell ref="H13:J13"/>
    <mergeCell ref="H14:J14"/>
    <mergeCell ref="H15:J15"/>
    <mergeCell ref="H16:J16"/>
    <mergeCell ref="H17:J17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5:J35"/>
  </mergeCells>
  <printOptions headings="false" gridLines="false" gridLinesSet="true" horizontalCentered="false" verticalCentered="false"/>
  <pageMargins left="0.209722222222222" right="0.140277777777778" top="0.129861111111111" bottom="0.00972222222222222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O43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D25" activeCellId="0" sqref="D25"/>
    </sheetView>
  </sheetViews>
  <sheetFormatPr defaultColWidth="8.99609375" defaultRowHeight="15.6" zeroHeight="false" outlineLevelRow="0" outlineLevelCol="0"/>
  <cols>
    <col collapsed="false" customWidth="true" hidden="false" outlineLevel="0" max="1" min="1" style="0" width="11.09"/>
    <col collapsed="false" customWidth="true" hidden="false" outlineLevel="0" max="3" min="2" style="0" width="15.89"/>
    <col collapsed="false" customWidth="true" hidden="false" outlineLevel="0" max="4" min="4" style="0" width="10.89"/>
    <col collapsed="false" customWidth="true" hidden="false" outlineLevel="0" max="5" min="5" style="0" width="7.5"/>
    <col collapsed="false" customWidth="true" hidden="false" outlineLevel="0" max="6" min="6" style="0" width="8.39"/>
    <col collapsed="false" customWidth="true" hidden="false" outlineLevel="0" max="8" min="7" style="0" width="11.19"/>
  </cols>
  <sheetData>
    <row r="2" customFormat="false" ht="24" hidden="false" customHeight="true" outlineLevel="0" collapsed="false">
      <c r="A2" s="1" t="s">
        <v>49</v>
      </c>
      <c r="B2" s="1"/>
      <c r="C2" s="1"/>
      <c r="D2" s="1"/>
      <c r="E2" s="1"/>
      <c r="F2" s="1"/>
      <c r="G2" s="1"/>
      <c r="H2" s="1"/>
      <c r="I2" s="49"/>
      <c r="J2" s="49"/>
    </row>
    <row r="3" customFormat="false" ht="24.75" hidden="false" customHeight="true" outlineLevel="0" collapsed="false">
      <c r="B3" s="50" t="s">
        <v>50</v>
      </c>
      <c r="C3" s="50"/>
      <c r="D3" s="50"/>
      <c r="E3" s="50"/>
      <c r="F3" s="50"/>
      <c r="G3" s="50"/>
      <c r="H3" s="50"/>
      <c r="I3" s="50"/>
    </row>
    <row r="4" customFormat="false" ht="15.75" hidden="false" customHeight="true" outlineLevel="0" collapsed="false">
      <c r="E4" s="18" t="s">
        <v>9</v>
      </c>
      <c r="F4" s="6" t="s">
        <v>51</v>
      </c>
      <c r="G4" s="6"/>
      <c r="I4" s="6"/>
      <c r="J4" s="6"/>
    </row>
    <row r="5" customFormat="false" ht="15.75" hidden="false" customHeight="true" outlineLevel="0" collapsed="false">
      <c r="B5" s="51" t="s">
        <v>52</v>
      </c>
      <c r="C5" s="51"/>
      <c r="D5" s="51"/>
      <c r="E5" s="16" t="s">
        <v>53</v>
      </c>
      <c r="I5" s="9"/>
      <c r="J5" s="5"/>
    </row>
    <row r="6" customFormat="false" ht="15.75" hidden="false" customHeight="true" outlineLevel="0" collapsed="false">
      <c r="B6" s="51"/>
      <c r="C6" s="51"/>
      <c r="D6" s="51"/>
      <c r="E6" s="52" t="s">
        <v>54</v>
      </c>
      <c r="F6" s="52"/>
      <c r="G6" s="52"/>
      <c r="I6" s="6"/>
      <c r="J6" s="6"/>
    </row>
    <row r="7" customFormat="false" ht="15.75" hidden="false" customHeight="true" outlineLevel="0" collapsed="false">
      <c r="B7" s="51"/>
      <c r="C7" s="51"/>
      <c r="D7" s="51"/>
      <c r="E7" s="16" t="s">
        <v>55</v>
      </c>
    </row>
    <row r="8" customFormat="false" ht="23.25" hidden="false" customHeight="true" outlineLevel="0" collapsed="false">
      <c r="B8" s="53" t="s">
        <v>56</v>
      </c>
      <c r="C8" s="53"/>
      <c r="D8" s="53"/>
    </row>
    <row r="9" customFormat="false" ht="5.25" hidden="false" customHeight="true" outlineLevel="0" collapsed="false"/>
    <row r="10" customFormat="false" ht="21.75" hidden="false" customHeight="true" outlineLevel="0" collapsed="false">
      <c r="A10" s="54" t="s">
        <v>57</v>
      </c>
      <c r="B10" s="55" t="s">
        <v>58</v>
      </c>
      <c r="C10" s="55"/>
      <c r="D10" s="56" t="s">
        <v>59</v>
      </c>
      <c r="E10" s="55" t="s">
        <v>60</v>
      </c>
      <c r="F10" s="55" t="s">
        <v>61</v>
      </c>
      <c r="G10" s="57" t="s">
        <v>62</v>
      </c>
      <c r="H10" s="57" t="s">
        <v>63</v>
      </c>
      <c r="O10" s="58"/>
    </row>
    <row r="11" customFormat="false" ht="20.25" hidden="false" customHeight="true" outlineLevel="0" collapsed="false">
      <c r="A11" s="54" t="s">
        <v>21</v>
      </c>
      <c r="B11" s="59" t="s">
        <v>64</v>
      </c>
      <c r="C11" s="60"/>
      <c r="D11" s="31" t="n">
        <v>2350</v>
      </c>
      <c r="E11" s="61" t="s">
        <v>65</v>
      </c>
      <c r="F11" s="31" t="n">
        <v>14</v>
      </c>
      <c r="G11" s="61" t="n">
        <f aca="false">22*F11+10</f>
        <v>318</v>
      </c>
      <c r="H11" s="61" t="n">
        <f aca="false">G11-F11</f>
        <v>304</v>
      </c>
      <c r="I11" s="31"/>
    </row>
    <row r="12" customFormat="false" ht="17.25" hidden="false" customHeight="true" outlineLevel="0" collapsed="false">
      <c r="A12" s="62"/>
      <c r="B12" s="63" t="s">
        <v>66</v>
      </c>
      <c r="C12" s="64"/>
      <c r="D12" s="31" t="n">
        <v>3560</v>
      </c>
      <c r="E12" s="61" t="s">
        <v>65</v>
      </c>
      <c r="F12" s="31" t="n">
        <v>50</v>
      </c>
      <c r="G12" s="61" t="n">
        <f aca="false">22*F12+10</f>
        <v>1110</v>
      </c>
      <c r="H12" s="61" t="n">
        <f aca="false">G12-F12</f>
        <v>1060</v>
      </c>
      <c r="I12" s="65"/>
    </row>
    <row r="13" customFormat="false" ht="17.25" hidden="false" customHeight="true" outlineLevel="0" collapsed="false">
      <c r="A13" s="62"/>
      <c r="B13" s="63" t="s">
        <v>67</v>
      </c>
      <c r="C13" s="64"/>
      <c r="D13" s="31" t="n">
        <v>500</v>
      </c>
      <c r="E13" s="61" t="s">
        <v>65</v>
      </c>
      <c r="F13" s="31" t="n">
        <v>10</v>
      </c>
      <c r="G13" s="61" t="n">
        <f aca="false">22*F13+10</f>
        <v>230</v>
      </c>
      <c r="H13" s="61" t="n">
        <f aca="false">G13-F13</f>
        <v>220</v>
      </c>
      <c r="I13" s="65"/>
    </row>
    <row r="14" customFormat="false" ht="17.25" hidden="false" customHeight="true" outlineLevel="0" collapsed="false">
      <c r="A14" s="62"/>
      <c r="B14" s="63" t="s">
        <v>68</v>
      </c>
      <c r="C14" s="64"/>
      <c r="D14" s="31" t="n">
        <v>600</v>
      </c>
      <c r="E14" s="61" t="s">
        <v>65</v>
      </c>
      <c r="F14" s="31" t="n">
        <v>55</v>
      </c>
      <c r="G14" s="61" t="n">
        <f aca="false">22*F14+10</f>
        <v>1220</v>
      </c>
      <c r="H14" s="61" t="n">
        <f aca="false">G14-F14</f>
        <v>1165</v>
      </c>
      <c r="I14" s="65"/>
    </row>
    <row r="15" customFormat="false" ht="17.25" hidden="false" customHeight="true" outlineLevel="0" collapsed="false">
      <c r="A15" s="62"/>
      <c r="B15" s="63" t="s">
        <v>69</v>
      </c>
      <c r="C15" s="64"/>
      <c r="D15" s="31" t="n">
        <v>600</v>
      </c>
      <c r="E15" s="61" t="s">
        <v>65</v>
      </c>
      <c r="F15" s="31" t="n">
        <v>48</v>
      </c>
      <c r="G15" s="61" t="n">
        <f aca="false">22*F15+10</f>
        <v>1066</v>
      </c>
      <c r="H15" s="61" t="n">
        <f aca="false">G15-F15</f>
        <v>1018</v>
      </c>
      <c r="I15" s="65"/>
    </row>
    <row r="16" customFormat="false" ht="17.25" hidden="false" customHeight="true" outlineLevel="0" collapsed="false">
      <c r="A16" s="62"/>
      <c r="B16" s="63" t="s">
        <v>70</v>
      </c>
      <c r="C16" s="64"/>
      <c r="D16" s="31" t="n">
        <v>200</v>
      </c>
      <c r="E16" s="61" t="s">
        <v>65</v>
      </c>
      <c r="F16" s="31" t="n">
        <v>16</v>
      </c>
      <c r="G16" s="61" t="n">
        <f aca="false">22*F16+10</f>
        <v>362</v>
      </c>
      <c r="H16" s="61" t="n">
        <f aca="false">G16-F16</f>
        <v>346</v>
      </c>
      <c r="I16" s="65"/>
    </row>
    <row r="17" customFormat="false" ht="17.25" hidden="false" customHeight="true" outlineLevel="0" collapsed="false">
      <c r="A17" s="62"/>
      <c r="B17" s="63" t="s">
        <v>71</v>
      </c>
      <c r="C17" s="64"/>
      <c r="D17" s="31" t="n">
        <v>1120</v>
      </c>
      <c r="E17" s="61" t="s">
        <v>65</v>
      </c>
      <c r="F17" s="31" t="n">
        <v>36</v>
      </c>
      <c r="G17" s="61" t="n">
        <f aca="false">22*F17+10</f>
        <v>802</v>
      </c>
      <c r="H17" s="61" t="n">
        <f aca="false">G17-F17</f>
        <v>766</v>
      </c>
      <c r="I17" s="65"/>
    </row>
    <row r="18" customFormat="false" ht="17.25" hidden="false" customHeight="true" outlineLevel="0" collapsed="false">
      <c r="A18" s="62"/>
      <c r="B18" s="63" t="s">
        <v>72</v>
      </c>
      <c r="C18" s="64"/>
      <c r="D18" s="31" t="n">
        <v>2560</v>
      </c>
      <c r="E18" s="61" t="s">
        <v>65</v>
      </c>
      <c r="F18" s="31" t="n">
        <v>60</v>
      </c>
      <c r="G18" s="61" t="n">
        <f aca="false">22*F18+10</f>
        <v>1330</v>
      </c>
      <c r="H18" s="61" t="n">
        <f aca="false">G18-F18</f>
        <v>1270</v>
      </c>
      <c r="I18" s="65"/>
    </row>
    <row r="19" customFormat="false" ht="17.25" hidden="false" customHeight="true" outlineLevel="0" collapsed="false">
      <c r="A19" s="62"/>
      <c r="B19" s="63" t="s">
        <v>73</v>
      </c>
      <c r="C19" s="64"/>
      <c r="D19" s="31" t="n">
        <v>5620</v>
      </c>
      <c r="E19" s="61" t="s">
        <v>74</v>
      </c>
      <c r="F19" s="31" t="n">
        <v>418</v>
      </c>
      <c r="G19" s="61" t="n">
        <v>9180</v>
      </c>
      <c r="H19" s="61" t="n">
        <f aca="false">G19-F19</f>
        <v>8762</v>
      </c>
      <c r="I19" s="65"/>
    </row>
    <row r="20" customFormat="false" ht="17.25" hidden="false" customHeight="true" outlineLevel="0" collapsed="false">
      <c r="A20" s="62"/>
      <c r="B20" s="63" t="s">
        <v>75</v>
      </c>
      <c r="C20" s="64"/>
      <c r="D20" s="31" t="n">
        <v>3120</v>
      </c>
      <c r="E20" s="61" t="s">
        <v>65</v>
      </c>
      <c r="F20" s="31" t="n">
        <v>7</v>
      </c>
      <c r="G20" s="61" t="n">
        <v>172</v>
      </c>
      <c r="H20" s="61" t="n">
        <f aca="false">G20-F20</f>
        <v>165</v>
      </c>
      <c r="I20" s="65"/>
    </row>
    <row r="21" customFormat="false" ht="17.25" hidden="false" customHeight="true" outlineLevel="0" collapsed="false">
      <c r="A21" s="62"/>
      <c r="B21" s="63" t="s">
        <v>76</v>
      </c>
      <c r="C21" s="66" t="s">
        <v>48</v>
      </c>
      <c r="D21" s="31" t="n">
        <v>800</v>
      </c>
      <c r="E21" s="61" t="s">
        <v>65</v>
      </c>
      <c r="F21" s="31" t="n">
        <v>13</v>
      </c>
      <c r="G21" s="61" t="n">
        <f aca="false">22*F21+10</f>
        <v>296</v>
      </c>
      <c r="H21" s="61" t="n">
        <f aca="false">G21-F21</f>
        <v>283</v>
      </c>
      <c r="I21" s="65"/>
    </row>
    <row r="22" customFormat="false" ht="17.25" hidden="false" customHeight="true" outlineLevel="0" collapsed="false">
      <c r="A22" s="62"/>
      <c r="B22" s="63" t="s">
        <v>77</v>
      </c>
      <c r="C22" s="64"/>
      <c r="D22" s="31" t="n">
        <v>780</v>
      </c>
      <c r="E22" s="61" t="s">
        <v>65</v>
      </c>
      <c r="F22" s="31" t="n">
        <v>55</v>
      </c>
      <c r="G22" s="61" t="n">
        <f aca="false">22*F22+10</f>
        <v>1220</v>
      </c>
      <c r="H22" s="61" t="n">
        <f aca="false">G22-F22</f>
        <v>1165</v>
      </c>
      <c r="I22" s="65"/>
    </row>
    <row r="23" customFormat="false" ht="17.25" hidden="false" customHeight="true" outlineLevel="0" collapsed="false">
      <c r="A23" s="62"/>
      <c r="B23" s="63" t="s">
        <v>78</v>
      </c>
      <c r="C23" s="64"/>
      <c r="D23" s="31" t="n">
        <v>200</v>
      </c>
      <c r="E23" s="61" t="s">
        <v>65</v>
      </c>
      <c r="F23" s="31" t="n">
        <v>5</v>
      </c>
      <c r="G23" s="61" t="n">
        <f aca="false">22*F23+10</f>
        <v>120</v>
      </c>
      <c r="H23" s="61" t="n">
        <f aca="false">G23-F23</f>
        <v>115</v>
      </c>
      <c r="I23" s="65"/>
    </row>
    <row r="24" customFormat="false" ht="17.25" hidden="false" customHeight="true" outlineLevel="0" collapsed="false">
      <c r="A24" s="62"/>
      <c r="B24" s="63" t="s">
        <v>79</v>
      </c>
      <c r="C24" s="64"/>
      <c r="D24" s="31" t="n">
        <v>4560</v>
      </c>
      <c r="E24" s="61" t="s">
        <v>65</v>
      </c>
      <c r="F24" s="31" t="n">
        <v>84</v>
      </c>
      <c r="G24" s="61" t="n">
        <f aca="false">22*F24+10</f>
        <v>1858</v>
      </c>
      <c r="H24" s="61" t="n">
        <f aca="false">G24-F24</f>
        <v>1774</v>
      </c>
      <c r="I24" s="65"/>
    </row>
    <row r="25" customFormat="false" ht="17.25" hidden="false" customHeight="true" outlineLevel="0" collapsed="false">
      <c r="A25" s="62"/>
      <c r="B25" s="63" t="s">
        <v>80</v>
      </c>
      <c r="C25" s="64"/>
      <c r="D25" s="31" t="n">
        <v>1860</v>
      </c>
      <c r="E25" s="61" t="s">
        <v>65</v>
      </c>
      <c r="F25" s="31" t="n">
        <v>18</v>
      </c>
      <c r="G25" s="61" t="n">
        <f aca="false">22*F25+10</f>
        <v>406</v>
      </c>
      <c r="H25" s="61" t="n">
        <f aca="false">G25-F25</f>
        <v>388</v>
      </c>
      <c r="I25" s="65"/>
    </row>
    <row r="26" customFormat="false" ht="17.25" hidden="false" customHeight="true" outlineLevel="0" collapsed="false">
      <c r="A26" s="62"/>
      <c r="B26" s="63" t="s">
        <v>81</v>
      </c>
      <c r="C26" s="64"/>
      <c r="D26" s="31" t="n">
        <v>500</v>
      </c>
      <c r="E26" s="61" t="s">
        <v>65</v>
      </c>
      <c r="F26" s="31" t="n">
        <v>9</v>
      </c>
      <c r="G26" s="61" t="n">
        <f aca="false">22*F26+10</f>
        <v>208</v>
      </c>
      <c r="H26" s="61" t="n">
        <f aca="false">G26-F26</f>
        <v>199</v>
      </c>
      <c r="I26" s="65"/>
    </row>
    <row r="27" customFormat="false" ht="17.25" hidden="false" customHeight="true" outlineLevel="0" collapsed="false">
      <c r="A27" s="62"/>
      <c r="B27" s="63" t="s">
        <v>82</v>
      </c>
      <c r="C27" s="64"/>
      <c r="D27" s="31" t="n">
        <v>11</v>
      </c>
      <c r="E27" s="61" t="s">
        <v>65</v>
      </c>
      <c r="F27" s="31" t="n">
        <v>11</v>
      </c>
      <c r="G27" s="61" t="n">
        <f aca="false">22*F27+10</f>
        <v>252</v>
      </c>
      <c r="H27" s="61" t="n">
        <f aca="false">G27-F27</f>
        <v>241</v>
      </c>
      <c r="I27" s="65"/>
    </row>
    <row r="28" customFormat="false" ht="17.25" hidden="false" customHeight="true" outlineLevel="0" collapsed="false">
      <c r="A28" s="62"/>
      <c r="B28" s="63" t="s">
        <v>83</v>
      </c>
      <c r="C28" s="64"/>
      <c r="D28" s="31" t="n">
        <v>7</v>
      </c>
      <c r="E28" s="61" t="s">
        <v>65</v>
      </c>
      <c r="F28" s="31" t="n">
        <v>7</v>
      </c>
      <c r="G28" s="61" t="n">
        <f aca="false">22*F28+10</f>
        <v>164</v>
      </c>
      <c r="H28" s="61" t="n">
        <f aca="false">G28-F28</f>
        <v>157</v>
      </c>
      <c r="I28" s="65"/>
    </row>
    <row r="29" customFormat="false" ht="17.25" hidden="false" customHeight="true" outlineLevel="0" collapsed="false">
      <c r="A29" s="62"/>
      <c r="B29" s="63" t="s">
        <v>84</v>
      </c>
      <c r="C29" s="64"/>
      <c r="D29" s="31" t="n">
        <v>20</v>
      </c>
      <c r="E29" s="61" t="s">
        <v>65</v>
      </c>
      <c r="F29" s="31" t="n">
        <v>4</v>
      </c>
      <c r="G29" s="61" t="n">
        <f aca="false">22*F29+10</f>
        <v>98</v>
      </c>
      <c r="H29" s="61" t="n">
        <f aca="false">G29-F29</f>
        <v>94</v>
      </c>
      <c r="I29" s="65"/>
    </row>
    <row r="30" customFormat="false" ht="17.25" hidden="false" customHeight="true" outlineLevel="0" collapsed="false">
      <c r="A30" s="62"/>
      <c r="B30" s="63" t="s">
        <v>85</v>
      </c>
      <c r="C30" s="64"/>
      <c r="D30" s="31" t="n">
        <v>50</v>
      </c>
      <c r="E30" s="61" t="s">
        <v>65</v>
      </c>
      <c r="F30" s="31" t="n">
        <v>13</v>
      </c>
      <c r="G30" s="61" t="n">
        <f aca="false">22*F30+10</f>
        <v>296</v>
      </c>
      <c r="H30" s="61" t="n">
        <f aca="false">G30-F30</f>
        <v>283</v>
      </c>
      <c r="I30" s="65"/>
    </row>
    <row r="31" customFormat="false" ht="17.25" hidden="false" customHeight="true" outlineLevel="0" collapsed="false">
      <c r="A31" s="62"/>
      <c r="B31" s="63" t="s">
        <v>86</v>
      </c>
      <c r="C31" s="64"/>
      <c r="D31" s="31" t="n">
        <v>6</v>
      </c>
      <c r="E31" s="61" t="s">
        <v>65</v>
      </c>
      <c r="F31" s="31" t="n">
        <v>6</v>
      </c>
      <c r="G31" s="61" t="n">
        <f aca="false">22*F31+10</f>
        <v>142</v>
      </c>
      <c r="H31" s="61" t="n">
        <f aca="false">G31-F31</f>
        <v>136</v>
      </c>
      <c r="I31" s="65"/>
    </row>
    <row r="32" customFormat="false" ht="17.25" hidden="false" customHeight="true" outlineLevel="0" collapsed="false">
      <c r="A32" s="62"/>
      <c r="B32" s="63" t="s">
        <v>87</v>
      </c>
      <c r="C32" s="64"/>
      <c r="D32" s="31" t="n">
        <v>1250</v>
      </c>
      <c r="E32" s="61" t="s">
        <v>65</v>
      </c>
      <c r="F32" s="31" t="n">
        <v>170</v>
      </c>
      <c r="G32" s="61" t="n">
        <f aca="false">22*F32+10</f>
        <v>3750</v>
      </c>
      <c r="H32" s="61" t="n">
        <f aca="false">G32-F32</f>
        <v>3580</v>
      </c>
      <c r="I32" s="65"/>
    </row>
    <row r="33" customFormat="false" ht="17.25" hidden="false" customHeight="true" outlineLevel="0" collapsed="false">
      <c r="A33" s="62"/>
      <c r="B33" s="67"/>
      <c r="C33" s="64"/>
      <c r="D33" s="31"/>
      <c r="E33" s="61"/>
      <c r="F33" s="31"/>
      <c r="G33" s="61"/>
      <c r="H33" s="61"/>
      <c r="I33" s="31"/>
    </row>
    <row r="34" customFormat="false" ht="17.25" hidden="false" customHeight="true" outlineLevel="0" collapsed="false">
      <c r="A34" s="68" t="s">
        <v>88</v>
      </c>
      <c r="B34" s="69"/>
      <c r="C34" s="70"/>
      <c r="D34" s="71"/>
      <c r="E34" s="71"/>
      <c r="F34" s="72" t="n">
        <f aca="false">SUM(F11:F33)</f>
        <v>1109</v>
      </c>
      <c r="G34" s="73" t="n">
        <f aca="false">SUM(G11:G33)</f>
        <v>24600</v>
      </c>
      <c r="H34" s="72" t="n">
        <f aca="false">SUM(H11:H33)</f>
        <v>23491</v>
      </c>
    </row>
    <row r="35" customFormat="false" ht="15.6" hidden="false" customHeight="false" outlineLevel="0" collapsed="false">
      <c r="H35" s="74"/>
    </row>
    <row r="36" customFormat="false" ht="15.6" hidden="false" customHeight="false" outlineLevel="0" collapsed="false">
      <c r="G36" s="75"/>
    </row>
    <row r="43" customFormat="false" ht="15.6" hidden="false" customHeight="false" outlineLevel="0" collapsed="false">
      <c r="H43" s="0" t="s">
        <v>48</v>
      </c>
    </row>
  </sheetData>
  <mergeCells count="8">
    <mergeCell ref="A2:H2"/>
    <mergeCell ref="F4:G4"/>
    <mergeCell ref="I4:J4"/>
    <mergeCell ref="B5:D7"/>
    <mergeCell ref="E6:G6"/>
    <mergeCell ref="I6:J6"/>
    <mergeCell ref="B8:D8"/>
    <mergeCell ref="B10:C10"/>
  </mergeCells>
  <printOptions headings="false" gridLines="false" gridLinesSet="true" horizontalCentered="false" verticalCentered="false"/>
  <pageMargins left="0.240277777777778" right="0.179861111111111" top="0.129861111111111" bottom="0.27986111111111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8.99609375" defaultRowHeight="15.6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2006-12-14T15:27:22Z</dcterms:created>
  <dc:creator>LAOCHEN</dc:creator>
  <dc:description/>
  <dc:language>en-US</dc:language>
  <cp:lastModifiedBy>shuying jin</cp:lastModifiedBy>
  <cp:lastPrinted>2022-05-09T10:15:46Z</cp:lastPrinted>
  <dcterms:modified xsi:type="dcterms:W3CDTF">2026-03-30T17:27:34Z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EB9FF0EA49D143D5B4EB712AB3489414</vt:lpwstr>
  </property>
  <property fmtid="{D5CDD505-2E9C-101B-9397-08002B2CF9AE}" pid="3" name="KSOProductBuildVer">
    <vt:lpwstr>2052-12.1.0.19302</vt:lpwstr>
  </property>
</Properties>
</file>