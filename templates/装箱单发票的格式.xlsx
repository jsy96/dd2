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D:\cc-picture\dd2__dd2dd.leige.site\dd2-master\templates\"/>
    </mc:Choice>
  </mc:AlternateContent>
  <xr:revisionPtr revIDLastSave="0" documentId="13_ncr:1_{34815D93-42B7-4BE0-96F8-422BBCE0A862}" xr6:coauthVersionLast="47" xr6:coauthVersionMax="47" xr10:uidLastSave="{00000000-0000-0000-0000-000000000000}"/>
  <bookViews>
    <workbookView xWindow="5964" yWindow="816" windowWidth="20976" windowHeight="15744" activeTab="1" xr2:uid="{00000000-000D-0000-FFFF-FFFF00000000}"/>
  </bookViews>
  <sheets>
    <sheet name="INVOICE" sheetId="1" r:id="rId1"/>
    <sheet name="PACKING LIST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4" l="1"/>
  <c r="G13" i="4"/>
  <c r="G14" i="4"/>
  <c r="G15" i="4"/>
  <c r="G16" i="4"/>
  <c r="G17" i="4"/>
  <c r="G18" i="4"/>
  <c r="G21" i="4"/>
  <c r="G22" i="4"/>
  <c r="G23" i="4"/>
  <c r="G24" i="4"/>
  <c r="G25" i="4"/>
  <c r="G26" i="4"/>
  <c r="G27" i="4"/>
  <c r="G28" i="4"/>
  <c r="G29" i="4"/>
  <c r="G30" i="4"/>
  <c r="G31" i="4"/>
  <c r="G32" i="4"/>
  <c r="G11" i="4"/>
  <c r="H19" i="4"/>
  <c r="H20" i="4"/>
  <c r="H21" i="4"/>
  <c r="H22" i="4"/>
  <c r="H23" i="4"/>
  <c r="H31" i="4"/>
  <c r="H32" i="4"/>
  <c r="H11" i="4"/>
  <c r="H12" i="4"/>
  <c r="H13" i="4"/>
  <c r="H16" i="4"/>
  <c r="H17" i="4"/>
  <c r="H18" i="4"/>
  <c r="H24" i="4"/>
  <c r="H25" i="4"/>
  <c r="H26" i="4"/>
  <c r="H27" i="4"/>
  <c r="H28" i="4"/>
  <c r="H29" i="4"/>
  <c r="H30" i="4"/>
  <c r="H15" i="4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14" i="4"/>
  <c r="H15" i="1"/>
  <c r="H12" i="1"/>
  <c r="H13" i="1"/>
  <c r="H14" i="1"/>
  <c r="H33" i="1"/>
  <c r="C35" i="1"/>
  <c r="F34" i="4"/>
  <c r="H35" i="1"/>
  <c r="H34" i="4"/>
  <c r="G34" i="4"/>
</calcChain>
</file>

<file path=xl/sharedStrings.xml><?xml version="1.0" encoding="utf-8"?>
<sst xmlns="http://schemas.openxmlformats.org/spreadsheetml/2006/main" count="158" uniqueCount="68">
  <si>
    <t xml:space="preserve">浙江长江国际有限公司 </t>
  </si>
  <si>
    <t xml:space="preserve">            ZHEJIANG CHEUNG KONG INTERNATIONAL LIMITED</t>
  </si>
  <si>
    <t>发票</t>
  </si>
  <si>
    <t>第</t>
  </si>
  <si>
    <t>号</t>
  </si>
  <si>
    <t>No.</t>
  </si>
  <si>
    <t>……………………………</t>
  </si>
  <si>
    <t>INVOICE</t>
  </si>
  <si>
    <t>日期</t>
  </si>
  <si>
    <r>
      <t>Date</t>
    </r>
    <r>
      <rPr>
        <vertAlign val="subscript"/>
        <sz val="12"/>
        <rFont val="宋体"/>
        <family val="3"/>
        <charset val="134"/>
      </rPr>
      <t>……………………………………</t>
    </r>
  </si>
  <si>
    <t>信用证第</t>
  </si>
  <si>
    <t xml:space="preserve">  </t>
  </si>
  <si>
    <t>To:…………………………………………………………</t>
  </si>
  <si>
    <t>L\C NO:……………………………</t>
  </si>
  <si>
    <t>唛头号码    Marks &amp; Numbers</t>
  </si>
  <si>
    <t>数量与品名                                  Quantities and Descriptions</t>
  </si>
  <si>
    <t>单价            Unit price</t>
  </si>
  <si>
    <t>金额       Amount</t>
  </si>
  <si>
    <t>N\M</t>
  </si>
  <si>
    <t>CIF DUBAI</t>
  </si>
  <si>
    <t>CTNS</t>
  </si>
  <si>
    <t>/CTNS</t>
  </si>
  <si>
    <t>TOTAL:</t>
  </si>
  <si>
    <t xml:space="preserve"> </t>
  </si>
  <si>
    <t xml:space="preserve">浙江长江国际有限公司  </t>
  </si>
  <si>
    <t xml:space="preserve">   ZHEJIANG CHEUNG KONG INTERNATIONAL LIMITED</t>
  </si>
  <si>
    <r>
      <t xml:space="preserve">装  箱  单 </t>
    </r>
    <r>
      <rPr>
        <b/>
        <sz val="22"/>
        <rFont val="宋体"/>
        <family val="3"/>
        <charset val="134"/>
      </rPr>
      <t xml:space="preserve"> </t>
    </r>
    <r>
      <rPr>
        <b/>
        <sz val="12"/>
        <rFont val="宋体"/>
        <family val="3"/>
        <charset val="134"/>
      </rPr>
      <t>（重量单）</t>
    </r>
  </si>
  <si>
    <t>Date…………………………………</t>
  </si>
  <si>
    <t>Invoice No…………………………</t>
  </si>
  <si>
    <t>PACKING LIST (Weight List)</t>
  </si>
  <si>
    <t>CTN.NO</t>
  </si>
  <si>
    <t>Description</t>
  </si>
  <si>
    <t>Quantity</t>
  </si>
  <si>
    <t>Unit</t>
  </si>
  <si>
    <t>CTN</t>
  </si>
  <si>
    <t>G.W (KGS)</t>
  </si>
  <si>
    <t>N.W (KGS)</t>
  </si>
  <si>
    <t>PCS</t>
  </si>
  <si>
    <t xml:space="preserve">                                 TOTAL:</t>
  </si>
  <si>
    <t>PCS</t>
    <phoneticPr fontId="19" type="noConversion"/>
  </si>
  <si>
    <t>SIJI SHIPPING L.L.C</t>
    <phoneticPr fontId="19" type="noConversion"/>
  </si>
  <si>
    <t xml:space="preserve"> </t>
    <phoneticPr fontId="19" type="noConversion"/>
  </si>
  <si>
    <t>YWSJ2602044</t>
    <phoneticPr fontId="19" type="noConversion"/>
  </si>
  <si>
    <t>发票号码    YWSJ2602044</t>
    <phoneticPr fontId="19" type="noConversion"/>
  </si>
  <si>
    <t>DOZ</t>
    <phoneticPr fontId="19" type="noConversion"/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</si>
  <si>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</si>
  <si>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2}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</si>
  <si>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3}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</si>
  <si>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4}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</si>
  <si>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5}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</si>
  <si>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6}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</si>
  <si>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7}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</si>
  <si>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8}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</si>
  <si>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9}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</si>
  <si>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10}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</si>
  <si>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11}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</si>
  <si>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12}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</si>
  <si>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13}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</si>
  <si>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14}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</si>
  <si>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15}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</si>
  <si>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16}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</si>
  <si>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17}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</si>
  <si>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18}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</si>
  <si>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19}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</si>
  <si>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20}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</si>
  <si>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21}</t>
    </r>
  </si>
  <si>
    <r>
      <rPr>
        <sz val="12"/>
        <rFont val="宋体"/>
        <family val="3"/>
        <charset val="134"/>
      </rPr>
      <t>{</t>
    </r>
    <r>
      <rPr>
        <sz val="12"/>
        <rFont val="WenQuanYi Zen Hei"/>
        <family val="2"/>
      </rPr>
      <t>商品</t>
    </r>
    <r>
      <rPr>
        <sz val="12"/>
        <rFont val="宋体"/>
        <family val="3"/>
        <charset val="134"/>
      </rPr>
      <t>22}</t>
    </r>
  </si>
  <si>
    <t>{发票日期}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</si>
</sst>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[$USD]\ #,##0.00;[$USD]\ \-#,##0.00"/>
    <numFmt numFmtId="178" formatCode="[$USD]\ #,##0.00_);[Red]\([$USD]\ #,##0.00\)"/>
  </numFmts>
  <fonts count="31">
    <font>
      <sz val="12"/>
      <name val="宋体"/>
      <charset val="134"/>
    </font>
    <font>
      <b/>
      <sz val="24"/>
      <name val="宋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b/>
      <sz val="26"/>
      <name val="宋体"/>
      <family val="3"/>
      <charset val="134"/>
    </font>
    <font>
      <b/>
      <sz val="22"/>
      <name val="宋体"/>
      <family val="3"/>
      <charset val="134"/>
    </font>
    <font>
      <b/>
      <u/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16"/>
      <name val="宋体"/>
      <family val="3"/>
      <charset val="134"/>
    </font>
    <font>
      <sz val="20"/>
      <name val="宋体"/>
      <family val="3"/>
      <charset val="134"/>
    </font>
    <font>
      <sz val="24"/>
      <name val="宋体"/>
      <family val="3"/>
      <charset val="134"/>
    </font>
    <font>
      <sz val="16"/>
      <name val="Times New Roman"/>
      <family val="1"/>
    </font>
    <font>
      <sz val="11"/>
      <name val="Times New Roman"/>
      <family val="1"/>
    </font>
    <font>
      <b/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9"/>
      <color rgb="FF2E3033"/>
      <name val="Arial"/>
      <family val="2"/>
    </font>
    <font>
      <sz val="12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8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indent="1"/>
    </xf>
    <xf numFmtId="0" fontId="0" fillId="0" borderId="5" xfId="0" applyFill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7" xfId="0" applyFill="1" applyBorder="1">
      <alignment vertical="center"/>
    </xf>
    <xf numFmtId="0" fontId="10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176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28" fillId="0" borderId="0" xfId="0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0" fillId="2" borderId="0" xfId="0" applyFill="1">
      <alignment vertical="center"/>
    </xf>
    <xf numFmtId="0" fontId="29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Fill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7" fontId="16" fillId="0" borderId="0" xfId="0" applyNumberFormat="1" applyFont="1" applyBorder="1">
      <alignment vertical="center"/>
    </xf>
    <xf numFmtId="0" fontId="0" fillId="0" borderId="7" xfId="0" applyBorder="1">
      <alignment vertical="center"/>
    </xf>
    <xf numFmtId="178" fontId="16" fillId="0" borderId="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justify" vertical="center"/>
    </xf>
    <xf numFmtId="0" fontId="17" fillId="0" borderId="8" xfId="0" applyFont="1" applyBorder="1" applyAlignment="1">
      <alignment horizontal="left" vertical="center" indent="2"/>
    </xf>
    <xf numFmtId="0" fontId="0" fillId="0" borderId="8" xfId="0" applyBorder="1" applyAlignment="1">
      <alignment horizontal="left" vertical="center" indent="2"/>
    </xf>
    <xf numFmtId="0" fontId="9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2" xfId="0" applyBorder="1" applyAlignment="1">
      <alignment horizontal="left" vertical="center"/>
    </xf>
    <xf numFmtId="177" fontId="0" fillId="0" borderId="9" xfId="0" applyNumberFormat="1" applyBorder="1">
      <alignment vertical="center"/>
    </xf>
    <xf numFmtId="0" fontId="0" fillId="0" borderId="2" xfId="0" applyBorder="1">
      <alignment vertical="center"/>
    </xf>
    <xf numFmtId="178" fontId="0" fillId="0" borderId="0" xfId="0" applyNumberFormat="1">
      <alignment vertical="center"/>
    </xf>
    <xf numFmtId="0" fontId="0" fillId="0" borderId="5" xfId="0" applyBorder="1">
      <alignment vertical="center"/>
    </xf>
    <xf numFmtId="178" fontId="16" fillId="0" borderId="0" xfId="0" applyNumberFormat="1" applyFont="1" applyBorder="1" applyAlignment="1">
      <alignment horizontal="center" vertical="center"/>
    </xf>
    <xf numFmtId="178" fontId="16" fillId="0" borderId="7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 applyBorder="1">
      <alignment vertical="center"/>
    </xf>
    <xf numFmtId="0" fontId="23" fillId="0" borderId="7" xfId="0" applyFont="1" applyFill="1" applyBorder="1">
      <alignment vertical="center"/>
    </xf>
    <xf numFmtId="0" fontId="24" fillId="0" borderId="0" xfId="0" applyFont="1">
      <alignment vertical="center"/>
    </xf>
    <xf numFmtId="0" fontId="26" fillId="0" borderId="0" xfId="0" applyFont="1">
      <alignment vertical="center"/>
    </xf>
    <xf numFmtId="0" fontId="0" fillId="0" borderId="6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178" fontId="16" fillId="0" borderId="4" xfId="0" applyNumberFormat="1" applyFont="1" applyBorder="1" applyAlignment="1">
      <alignment horizontal="center" vertical="center"/>
    </xf>
    <xf numFmtId="178" fontId="16" fillId="0" borderId="0" xfId="0" applyNumberFormat="1" applyFont="1" applyBorder="1" applyAlignment="1">
      <alignment horizontal="center" vertical="center"/>
    </xf>
    <xf numFmtId="178" fontId="16" fillId="0" borderId="7" xfId="0" applyNumberFormat="1" applyFon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workbookViewId="0">
      <selection activeCell="G7" sqref="G7"/>
    </sheetView>
  </sheetViews>
  <sheetFormatPr defaultColWidth="9" defaultRowHeight="15.6"/>
  <cols>
    <col min="1" max="1" width="16.3984375" customWidth="1"/>
    <col min="2" max="2" width="1.8984375" customWidth="1"/>
    <col min="3" max="4" width="4.8984375" customWidth="1"/>
    <col min="5" max="5" width="33.5" customWidth="1"/>
    <col min="6" max="6" width="11" customWidth="1"/>
    <col min="7" max="8" width="6.59765625" customWidth="1"/>
    <col min="9" max="9" width="4.19921875" customWidth="1"/>
    <col min="10" max="10" width="4.09765625" customWidth="1"/>
    <col min="13" max="13" width="12.69921875" bestFit="1" customWidth="1"/>
  </cols>
  <sheetData>
    <row r="2" spans="1:15" s="26" customFormat="1" ht="23.25" customHeight="1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5" ht="21" customHeight="1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</row>
    <row r="4" spans="1:15" ht="15" customHeight="1">
      <c r="E4" s="66" t="s">
        <v>2</v>
      </c>
      <c r="F4" s="27" t="s">
        <v>3</v>
      </c>
      <c r="G4" s="75" t="s">
        <v>42</v>
      </c>
      <c r="H4" s="75"/>
      <c r="I4" s="27" t="s">
        <v>4</v>
      </c>
      <c r="L4" s="57"/>
    </row>
    <row r="5" spans="1:15" ht="14.25" customHeight="1">
      <c r="E5" s="66"/>
      <c r="F5" s="27" t="s">
        <v>5</v>
      </c>
      <c r="G5" s="4" t="s">
        <v>6</v>
      </c>
      <c r="H5" s="27"/>
      <c r="I5" s="27"/>
      <c r="K5" s="53"/>
    </row>
    <row r="6" spans="1:15" ht="15" customHeight="1">
      <c r="E6" s="67" t="s">
        <v>7</v>
      </c>
      <c r="F6" s="27" t="s">
        <v>8</v>
      </c>
      <c r="G6" s="75" t="s">
        <v>67</v>
      </c>
      <c r="H6" s="75"/>
      <c r="I6" s="3"/>
      <c r="L6" s="57"/>
    </row>
    <row r="7" spans="1:15" ht="17.25" customHeight="1">
      <c r="A7" s="28"/>
      <c r="E7" s="67"/>
      <c r="F7" s="29" t="s">
        <v>9</v>
      </c>
      <c r="K7" s="53"/>
      <c r="L7" s="56"/>
    </row>
    <row r="8" spans="1:15" ht="18.75" customHeight="1">
      <c r="A8" s="54" t="s">
        <v>40</v>
      </c>
      <c r="B8" s="28"/>
      <c r="C8" s="28"/>
      <c r="D8" s="28"/>
      <c r="F8" s="30" t="s">
        <v>10</v>
      </c>
      <c r="G8" s="2"/>
      <c r="H8" s="31"/>
      <c r="I8" s="2" t="s">
        <v>4</v>
      </c>
      <c r="O8" t="s">
        <v>11</v>
      </c>
    </row>
    <row r="9" spans="1:15" ht="17.25" customHeight="1">
      <c r="A9" t="s">
        <v>12</v>
      </c>
      <c r="F9" s="30" t="s">
        <v>13</v>
      </c>
      <c r="L9" s="56"/>
    </row>
    <row r="10" spans="1:15" ht="25.5" customHeight="1">
      <c r="A10" s="32" t="s">
        <v>14</v>
      </c>
      <c r="B10" s="33"/>
      <c r="C10" s="76" t="s">
        <v>15</v>
      </c>
      <c r="D10" s="76"/>
      <c r="E10" s="77"/>
      <c r="F10" s="72" t="s">
        <v>16</v>
      </c>
      <c r="G10" s="78"/>
      <c r="H10" s="70" t="s">
        <v>17</v>
      </c>
      <c r="I10" s="71"/>
      <c r="J10" s="72"/>
    </row>
    <row r="11" spans="1:15" ht="15.75" customHeight="1">
      <c r="A11" s="34" t="s">
        <v>18</v>
      </c>
      <c r="B11" s="35"/>
      <c r="C11" s="36"/>
      <c r="D11" s="36"/>
      <c r="E11" s="37"/>
      <c r="F11" s="68" t="s">
        <v>19</v>
      </c>
      <c r="G11" s="69"/>
      <c r="H11" s="36"/>
      <c r="I11" s="36"/>
      <c r="J11" s="50"/>
    </row>
    <row r="12" spans="1:15">
      <c r="A12" s="34"/>
      <c r="B12" s="34"/>
      <c r="C12" s="11">
        <v>14</v>
      </c>
      <c r="D12" s="28" t="s">
        <v>20</v>
      </c>
      <c r="E12" s="58" t="s">
        <v>45</v>
      </c>
      <c r="F12" s="38">
        <v>11</v>
      </c>
      <c r="G12" s="39" t="s">
        <v>21</v>
      </c>
      <c r="H12" s="60">
        <f>F12*C12</f>
        <v>154</v>
      </c>
      <c r="I12" s="61"/>
      <c r="J12" s="62"/>
    </row>
    <row r="13" spans="1:15">
      <c r="A13" s="34"/>
      <c r="B13" s="34"/>
      <c r="C13" s="11">
        <v>50</v>
      </c>
      <c r="D13" s="28" t="s">
        <v>20</v>
      </c>
      <c r="E13" s="58" t="s">
        <v>46</v>
      </c>
      <c r="F13" s="38">
        <v>12</v>
      </c>
      <c r="G13" s="39" t="s">
        <v>21</v>
      </c>
      <c r="H13" s="60">
        <f>F13*C13</f>
        <v>600</v>
      </c>
      <c r="I13" s="61"/>
      <c r="J13" s="62"/>
    </row>
    <row r="14" spans="1:15">
      <c r="A14" s="34"/>
      <c r="B14" s="34"/>
      <c r="C14" s="11">
        <v>10</v>
      </c>
      <c r="D14" s="28" t="s">
        <v>20</v>
      </c>
      <c r="E14" s="58" t="s">
        <v>47</v>
      </c>
      <c r="F14" s="38">
        <v>23</v>
      </c>
      <c r="G14" s="39" t="s">
        <v>21</v>
      </c>
      <c r="H14" s="60">
        <f>F14*C14</f>
        <v>230</v>
      </c>
      <c r="I14" s="61"/>
      <c r="J14" s="62"/>
    </row>
    <row r="15" spans="1:15">
      <c r="A15" s="34"/>
      <c r="B15" s="34"/>
      <c r="C15" s="11">
        <v>55</v>
      </c>
      <c r="D15" s="28" t="s">
        <v>20</v>
      </c>
      <c r="E15" s="58" t="s">
        <v>48</v>
      </c>
      <c r="F15" s="38">
        <v>21</v>
      </c>
      <c r="G15" s="39" t="s">
        <v>21</v>
      </c>
      <c r="H15" s="60">
        <f>F15*C15</f>
        <v>1155</v>
      </c>
      <c r="I15" s="61"/>
      <c r="J15" s="62"/>
    </row>
    <row r="16" spans="1:15">
      <c r="A16" s="34"/>
      <c r="B16" s="34"/>
      <c r="C16" s="11">
        <v>48</v>
      </c>
      <c r="D16" s="28" t="s">
        <v>20</v>
      </c>
      <c r="E16" s="58" t="s">
        <v>49</v>
      </c>
      <c r="F16" s="38">
        <v>24</v>
      </c>
      <c r="G16" s="39" t="s">
        <v>21</v>
      </c>
      <c r="H16" s="60">
        <f t="shared" ref="H16:H32" si="0">F16*C16</f>
        <v>1152</v>
      </c>
      <c r="I16" s="61"/>
      <c r="J16" s="62"/>
    </row>
    <row r="17" spans="1:10">
      <c r="A17" s="34"/>
      <c r="B17" s="34"/>
      <c r="C17" s="11">
        <v>16</v>
      </c>
      <c r="D17" s="28" t="s">
        <v>20</v>
      </c>
      <c r="E17" s="58" t="s">
        <v>50</v>
      </c>
      <c r="F17" s="38">
        <v>25</v>
      </c>
      <c r="G17" s="39" t="s">
        <v>21</v>
      </c>
      <c r="H17" s="60">
        <f t="shared" si="0"/>
        <v>400</v>
      </c>
      <c r="I17" s="61"/>
      <c r="J17" s="62"/>
    </row>
    <row r="18" spans="1:10">
      <c r="A18" s="34"/>
      <c r="B18" s="34"/>
      <c r="C18" s="11">
        <v>36</v>
      </c>
      <c r="D18" s="28" t="s">
        <v>20</v>
      </c>
      <c r="E18" s="58" t="s">
        <v>51</v>
      </c>
      <c r="F18" s="38">
        <v>13</v>
      </c>
      <c r="G18" s="39" t="s">
        <v>21</v>
      </c>
      <c r="H18" s="60">
        <f t="shared" si="0"/>
        <v>468</v>
      </c>
      <c r="I18" s="61"/>
      <c r="J18" s="62"/>
    </row>
    <row r="19" spans="1:10">
      <c r="A19" s="34"/>
      <c r="B19" s="34"/>
      <c r="C19" s="11">
        <v>60</v>
      </c>
      <c r="D19" s="28" t="s">
        <v>20</v>
      </c>
      <c r="E19" s="58" t="s">
        <v>52</v>
      </c>
      <c r="F19" s="38">
        <v>19</v>
      </c>
      <c r="G19" s="39" t="s">
        <v>21</v>
      </c>
      <c r="H19" s="60">
        <f t="shared" si="0"/>
        <v>1140</v>
      </c>
      <c r="I19" s="61"/>
      <c r="J19" s="62"/>
    </row>
    <row r="20" spans="1:10">
      <c r="A20" s="34"/>
      <c r="B20" s="34"/>
      <c r="C20" s="11">
        <v>418</v>
      </c>
      <c r="D20" s="28" t="s">
        <v>20</v>
      </c>
      <c r="E20" s="58" t="s">
        <v>53</v>
      </c>
      <c r="F20" s="38">
        <v>2</v>
      </c>
      <c r="G20" s="39" t="s">
        <v>21</v>
      </c>
      <c r="H20" s="60">
        <f t="shared" si="0"/>
        <v>836</v>
      </c>
      <c r="I20" s="61"/>
      <c r="J20" s="62"/>
    </row>
    <row r="21" spans="1:10">
      <c r="A21" s="34"/>
      <c r="B21" s="34"/>
      <c r="C21" s="11">
        <v>7</v>
      </c>
      <c r="D21" s="28" t="s">
        <v>20</v>
      </c>
      <c r="E21" s="58" t="s">
        <v>54</v>
      </c>
      <c r="F21" s="38">
        <v>12</v>
      </c>
      <c r="G21" s="39" t="s">
        <v>21</v>
      </c>
      <c r="H21" s="60">
        <f t="shared" si="0"/>
        <v>84</v>
      </c>
      <c r="I21" s="61"/>
      <c r="J21" s="62"/>
    </row>
    <row r="22" spans="1:10">
      <c r="A22" s="34"/>
      <c r="B22" s="34"/>
      <c r="C22" s="11">
        <v>13</v>
      </c>
      <c r="D22" s="28" t="s">
        <v>20</v>
      </c>
      <c r="E22" s="58" t="s">
        <v>55</v>
      </c>
      <c r="F22" s="38">
        <v>11</v>
      </c>
      <c r="G22" s="39" t="s">
        <v>21</v>
      </c>
      <c r="H22" s="60">
        <f t="shared" si="0"/>
        <v>143</v>
      </c>
      <c r="I22" s="61"/>
      <c r="J22" s="62"/>
    </row>
    <row r="23" spans="1:10">
      <c r="A23" s="34"/>
      <c r="B23" s="34"/>
      <c r="C23" s="11">
        <v>55</v>
      </c>
      <c r="D23" s="28" t="s">
        <v>20</v>
      </c>
      <c r="E23" s="58" t="s">
        <v>56</v>
      </c>
      <c r="F23" s="38">
        <v>11</v>
      </c>
      <c r="G23" s="39" t="s">
        <v>21</v>
      </c>
      <c r="H23" s="60">
        <f t="shared" si="0"/>
        <v>605</v>
      </c>
      <c r="I23" s="61"/>
      <c r="J23" s="62"/>
    </row>
    <row r="24" spans="1:10">
      <c r="A24" s="34"/>
      <c r="B24" s="34"/>
      <c r="C24" s="11">
        <v>5</v>
      </c>
      <c r="D24" s="28" t="s">
        <v>20</v>
      </c>
      <c r="E24" s="58" t="s">
        <v>57</v>
      </c>
      <c r="F24" s="38">
        <v>14</v>
      </c>
      <c r="G24" s="39" t="s">
        <v>21</v>
      </c>
      <c r="H24" s="60">
        <f t="shared" si="0"/>
        <v>70</v>
      </c>
      <c r="I24" s="61"/>
      <c r="J24" s="62"/>
    </row>
    <row r="25" spans="1:10">
      <c r="A25" s="34"/>
      <c r="B25" s="34"/>
      <c r="C25" s="11">
        <v>84</v>
      </c>
      <c r="D25" s="28" t="s">
        <v>20</v>
      </c>
      <c r="E25" s="58" t="s">
        <v>58</v>
      </c>
      <c r="F25" s="38">
        <v>12</v>
      </c>
      <c r="G25" s="39" t="s">
        <v>21</v>
      </c>
      <c r="H25" s="60">
        <f t="shared" si="0"/>
        <v>1008</v>
      </c>
      <c r="I25" s="61"/>
      <c r="J25" s="62"/>
    </row>
    <row r="26" spans="1:10">
      <c r="A26" s="34"/>
      <c r="B26" s="34"/>
      <c r="C26" s="11">
        <v>18</v>
      </c>
      <c r="D26" s="28" t="s">
        <v>20</v>
      </c>
      <c r="E26" s="58" t="s">
        <v>59</v>
      </c>
      <c r="F26" s="38">
        <v>12</v>
      </c>
      <c r="G26" s="39" t="s">
        <v>21</v>
      </c>
      <c r="H26" s="60">
        <f t="shared" si="0"/>
        <v>216</v>
      </c>
      <c r="I26" s="61"/>
      <c r="J26" s="62"/>
    </row>
    <row r="27" spans="1:10">
      <c r="A27" s="34"/>
      <c r="B27" s="34"/>
      <c r="C27" s="11">
        <v>9</v>
      </c>
      <c r="D27" s="28" t="s">
        <v>20</v>
      </c>
      <c r="E27" s="58" t="s">
        <v>60</v>
      </c>
      <c r="F27" s="38">
        <v>6</v>
      </c>
      <c r="G27" s="39" t="s">
        <v>21</v>
      </c>
      <c r="H27" s="60">
        <f t="shared" si="0"/>
        <v>54</v>
      </c>
      <c r="I27" s="61"/>
      <c r="J27" s="62"/>
    </row>
    <row r="28" spans="1:10">
      <c r="A28" s="34"/>
      <c r="B28" s="34"/>
      <c r="C28" s="11">
        <v>11</v>
      </c>
      <c r="D28" s="28" t="s">
        <v>20</v>
      </c>
      <c r="E28" s="58" t="s">
        <v>61</v>
      </c>
      <c r="F28" s="38">
        <v>23</v>
      </c>
      <c r="G28" s="39" t="s">
        <v>21</v>
      </c>
      <c r="H28" s="60">
        <f t="shared" si="0"/>
        <v>253</v>
      </c>
      <c r="I28" s="61"/>
      <c r="J28" s="62"/>
    </row>
    <row r="29" spans="1:10">
      <c r="A29" s="34"/>
      <c r="B29" s="34"/>
      <c r="C29" s="11">
        <v>7</v>
      </c>
      <c r="D29" s="28" t="s">
        <v>20</v>
      </c>
      <c r="E29" s="58" t="s">
        <v>62</v>
      </c>
      <c r="F29" s="38">
        <v>12</v>
      </c>
      <c r="G29" s="39" t="s">
        <v>21</v>
      </c>
      <c r="H29" s="60">
        <f t="shared" si="0"/>
        <v>84</v>
      </c>
      <c r="I29" s="61"/>
      <c r="J29" s="62"/>
    </row>
    <row r="30" spans="1:10">
      <c r="A30" s="34"/>
      <c r="B30" s="34"/>
      <c r="C30" s="11">
        <v>4</v>
      </c>
      <c r="D30" s="28" t="s">
        <v>20</v>
      </c>
      <c r="E30" s="58" t="s">
        <v>63</v>
      </c>
      <c r="F30" s="38">
        <v>12</v>
      </c>
      <c r="G30" s="39" t="s">
        <v>21</v>
      </c>
      <c r="H30" s="60">
        <f t="shared" si="0"/>
        <v>48</v>
      </c>
      <c r="I30" s="61"/>
      <c r="J30" s="62"/>
    </row>
    <row r="31" spans="1:10">
      <c r="A31" s="34"/>
      <c r="B31" s="34"/>
      <c r="C31" s="11">
        <v>13</v>
      </c>
      <c r="D31" s="28" t="s">
        <v>20</v>
      </c>
      <c r="E31" s="58" t="s">
        <v>64</v>
      </c>
      <c r="F31" s="38">
        <v>12</v>
      </c>
      <c r="G31" s="39" t="s">
        <v>21</v>
      </c>
      <c r="H31" s="60">
        <f t="shared" si="0"/>
        <v>156</v>
      </c>
      <c r="I31" s="61"/>
      <c r="J31" s="62"/>
    </row>
    <row r="32" spans="1:10" ht="18" customHeight="1">
      <c r="A32" s="34"/>
      <c r="B32" s="34"/>
      <c r="C32" s="11">
        <v>6</v>
      </c>
      <c r="D32" s="28" t="s">
        <v>20</v>
      </c>
      <c r="E32" s="58" t="s">
        <v>65</v>
      </c>
      <c r="F32" s="38">
        <v>21</v>
      </c>
      <c r="G32" s="39" t="s">
        <v>21</v>
      </c>
      <c r="H32" s="60">
        <f t="shared" si="0"/>
        <v>126</v>
      </c>
      <c r="I32" s="61"/>
      <c r="J32" s="62"/>
    </row>
    <row r="33" spans="1:10">
      <c r="A33" s="34"/>
      <c r="B33" s="34"/>
      <c r="C33" s="11">
        <v>170</v>
      </c>
      <c r="D33" s="28" t="s">
        <v>20</v>
      </c>
      <c r="E33" s="58" t="s">
        <v>66</v>
      </c>
      <c r="F33" s="38">
        <v>12</v>
      </c>
      <c r="G33" s="39" t="s">
        <v>21</v>
      </c>
      <c r="H33" s="60">
        <f>F33*C33</f>
        <v>2040</v>
      </c>
      <c r="I33" s="61"/>
      <c r="J33" s="62"/>
    </row>
    <row r="34" spans="1:10">
      <c r="A34" s="34"/>
      <c r="B34" s="34"/>
      <c r="C34" s="11"/>
      <c r="D34" s="28"/>
      <c r="E34" s="41"/>
      <c r="F34" s="38"/>
      <c r="G34" s="39"/>
      <c r="H34" s="40"/>
      <c r="I34" s="51"/>
      <c r="J34" s="52"/>
    </row>
    <row r="35" spans="1:10" ht="17.25" customHeight="1">
      <c r="A35" s="42" t="s">
        <v>22</v>
      </c>
      <c r="B35" s="43"/>
      <c r="C35" s="44">
        <f>SUM(C12:C34)</f>
        <v>1109</v>
      </c>
      <c r="D35" s="45" t="s">
        <v>20</v>
      </c>
      <c r="E35" s="46"/>
      <c r="F35" s="47"/>
      <c r="G35" s="48"/>
      <c r="H35" s="63">
        <f>SUM(H12:J34)</f>
        <v>11022</v>
      </c>
      <c r="I35" s="64"/>
      <c r="J35" s="65"/>
    </row>
    <row r="36" spans="1:10">
      <c r="H36" s="49"/>
      <c r="J36" s="49"/>
    </row>
    <row r="40" spans="1:10">
      <c r="H40" t="s">
        <v>23</v>
      </c>
    </row>
    <row r="43" spans="1:10">
      <c r="E43" t="s">
        <v>23</v>
      </c>
    </row>
  </sheetData>
  <mergeCells count="33">
    <mergeCell ref="H23:J23"/>
    <mergeCell ref="H18:J18"/>
    <mergeCell ref="H24:J24"/>
    <mergeCell ref="H31:J31"/>
    <mergeCell ref="H32:J32"/>
    <mergeCell ref="H25:J25"/>
    <mergeCell ref="H26:J26"/>
    <mergeCell ref="H27:J27"/>
    <mergeCell ref="H28:J28"/>
    <mergeCell ref="H29:J29"/>
    <mergeCell ref="H30:J30"/>
    <mergeCell ref="A2:K2"/>
    <mergeCell ref="A3:K3"/>
    <mergeCell ref="G4:H4"/>
    <mergeCell ref="G6:H6"/>
    <mergeCell ref="C10:E10"/>
    <mergeCell ref="F10:G10"/>
    <mergeCell ref="H33:J33"/>
    <mergeCell ref="H35:J35"/>
    <mergeCell ref="E4:E5"/>
    <mergeCell ref="E6:E7"/>
    <mergeCell ref="F11:G11"/>
    <mergeCell ref="H12:J12"/>
    <mergeCell ref="H13:J13"/>
    <mergeCell ref="H14:J14"/>
    <mergeCell ref="H15:J15"/>
    <mergeCell ref="H16:J16"/>
    <mergeCell ref="H10:J10"/>
    <mergeCell ref="H17:J17"/>
    <mergeCell ref="H19:J19"/>
    <mergeCell ref="H20:J20"/>
    <mergeCell ref="H21:J21"/>
    <mergeCell ref="H22:J22"/>
  </mergeCells>
  <phoneticPr fontId="19" type="noConversion"/>
  <pageMargins left="0.21" right="0.14000000000000001" top="0.13" bottom="0.01" header="0.11999999999999998" footer="0.22"/>
  <pageSetup paperSize="9" orientation="portrait" horizontalDpi="4294967293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3"/>
  <sheetViews>
    <sheetView tabSelected="1" workbookViewId="0">
      <selection activeCell="K8" sqref="K8"/>
    </sheetView>
  </sheetViews>
  <sheetFormatPr defaultColWidth="9" defaultRowHeight="15.6"/>
  <cols>
    <col min="1" max="1" width="11.09765625" customWidth="1"/>
    <col min="2" max="3" width="15.8984375" customWidth="1"/>
    <col min="4" max="4" width="15.3984375" customWidth="1"/>
    <col min="5" max="5" width="7.5" customWidth="1"/>
    <col min="6" max="6" width="8.3984375" customWidth="1"/>
    <col min="7" max="7" width="13.19921875" customWidth="1"/>
    <col min="8" max="8" width="14.59765625" customWidth="1"/>
  </cols>
  <sheetData>
    <row r="2" spans="1:15" ht="24" customHeight="1">
      <c r="A2" s="73" t="s">
        <v>24</v>
      </c>
      <c r="B2" s="73"/>
      <c r="C2" s="73"/>
      <c r="D2" s="73"/>
      <c r="E2" s="73"/>
      <c r="F2" s="73"/>
      <c r="G2" s="73"/>
      <c r="H2" s="73"/>
      <c r="I2" s="23"/>
      <c r="J2" s="23"/>
    </row>
    <row r="3" spans="1:15" ht="24.75" customHeight="1">
      <c r="B3" s="1" t="s">
        <v>25</v>
      </c>
      <c r="C3" s="1"/>
      <c r="D3" s="1"/>
      <c r="E3" s="1"/>
      <c r="F3" s="1"/>
      <c r="G3" s="1"/>
      <c r="H3" s="1"/>
      <c r="I3" s="1"/>
    </row>
    <row r="4" spans="1:15" ht="15.75" customHeight="1">
      <c r="E4" s="2" t="s">
        <v>8</v>
      </c>
      <c r="F4" s="75" t="s">
        <v>67</v>
      </c>
      <c r="G4" s="84"/>
      <c r="I4" s="83"/>
      <c r="J4" s="75"/>
    </row>
    <row r="5" spans="1:15" ht="15.75" customHeight="1">
      <c r="B5" s="81" t="s">
        <v>26</v>
      </c>
      <c r="C5" s="82"/>
      <c r="D5" s="82"/>
      <c r="E5" s="2" t="s">
        <v>27</v>
      </c>
      <c r="I5" s="4"/>
      <c r="J5" s="27"/>
    </row>
    <row r="6" spans="1:15" ht="15.75" customHeight="1">
      <c r="B6" s="82"/>
      <c r="C6" s="82"/>
      <c r="D6" s="82"/>
      <c r="E6" s="85" t="s">
        <v>43</v>
      </c>
      <c r="F6" s="86"/>
      <c r="G6" s="86"/>
      <c r="I6" s="83"/>
      <c r="J6" s="75"/>
    </row>
    <row r="7" spans="1:15" ht="15.75" customHeight="1">
      <c r="B7" s="82"/>
      <c r="C7" s="82"/>
      <c r="D7" s="82"/>
      <c r="E7" s="2" t="s">
        <v>28</v>
      </c>
    </row>
    <row r="8" spans="1:15" ht="23.25" customHeight="1">
      <c r="B8" s="87" t="s">
        <v>29</v>
      </c>
      <c r="C8" s="87"/>
      <c r="D8" s="87"/>
    </row>
    <row r="9" spans="1:15" ht="5.25" customHeight="1"/>
    <row r="10" spans="1:15" ht="21.75" customHeight="1">
      <c r="A10" s="5" t="s">
        <v>30</v>
      </c>
      <c r="B10" s="79" t="s">
        <v>31</v>
      </c>
      <c r="C10" s="80"/>
      <c r="D10" s="6" t="s">
        <v>32</v>
      </c>
      <c r="E10" s="7" t="s">
        <v>33</v>
      </c>
      <c r="F10" s="7" t="s">
        <v>34</v>
      </c>
      <c r="G10" s="8" t="s">
        <v>35</v>
      </c>
      <c r="H10" s="8" t="s">
        <v>36</v>
      </c>
      <c r="O10" s="24"/>
    </row>
    <row r="11" spans="1:15" ht="20.25" customHeight="1">
      <c r="A11" s="5" t="s">
        <v>18</v>
      </c>
      <c r="B11" s="59" t="s">
        <v>45</v>
      </c>
      <c r="C11" s="10"/>
      <c r="D11" s="11">
        <v>2350</v>
      </c>
      <c r="E11" s="12" t="s">
        <v>39</v>
      </c>
      <c r="F11" s="11">
        <v>14</v>
      </c>
      <c r="G11" s="12">
        <f>22*F11+10</f>
        <v>318</v>
      </c>
      <c r="H11" s="12">
        <f>G11-F11</f>
        <v>304</v>
      </c>
      <c r="I11" s="11"/>
    </row>
    <row r="12" spans="1:15" ht="17.25" customHeight="1">
      <c r="A12" s="13"/>
      <c r="B12" s="9" t="s">
        <v>46</v>
      </c>
      <c r="C12" s="14"/>
      <c r="D12" s="11">
        <v>3560</v>
      </c>
      <c r="E12" s="12" t="s">
        <v>37</v>
      </c>
      <c r="F12" s="11">
        <v>50</v>
      </c>
      <c r="G12" s="12">
        <f t="shared" ref="G12:G32" si="0">22*F12+10</f>
        <v>1110</v>
      </c>
      <c r="H12" s="12">
        <f>G12-F12</f>
        <v>1060</v>
      </c>
      <c r="I12" s="25"/>
    </row>
    <row r="13" spans="1:15" ht="17.25" customHeight="1">
      <c r="A13" s="13"/>
      <c r="B13" s="9" t="s">
        <v>47</v>
      </c>
      <c r="C13" s="14"/>
      <c r="D13" s="11">
        <v>500</v>
      </c>
      <c r="E13" s="12" t="s">
        <v>37</v>
      </c>
      <c r="F13" s="11">
        <v>10</v>
      </c>
      <c r="G13" s="12">
        <f t="shared" si="0"/>
        <v>230</v>
      </c>
      <c r="H13" s="12">
        <f>G13-F13</f>
        <v>220</v>
      </c>
      <c r="I13" s="25"/>
    </row>
    <row r="14" spans="1:15" ht="17.25" customHeight="1">
      <c r="A14" s="13"/>
      <c r="B14" s="9" t="s">
        <v>48</v>
      </c>
      <c r="C14" s="14"/>
      <c r="D14" s="11">
        <v>600</v>
      </c>
      <c r="E14" s="12" t="s">
        <v>37</v>
      </c>
      <c r="F14" s="11">
        <v>55</v>
      </c>
      <c r="G14" s="12">
        <f t="shared" si="0"/>
        <v>1220</v>
      </c>
      <c r="H14" s="12">
        <f>G14-F14</f>
        <v>1165</v>
      </c>
      <c r="I14" s="25"/>
    </row>
    <row r="15" spans="1:15" ht="17.25" customHeight="1">
      <c r="A15" s="13"/>
      <c r="B15" s="9" t="s">
        <v>49</v>
      </c>
      <c r="C15" s="14"/>
      <c r="D15" s="11">
        <v>600</v>
      </c>
      <c r="E15" s="12" t="s">
        <v>37</v>
      </c>
      <c r="F15" s="11">
        <v>48</v>
      </c>
      <c r="G15" s="12">
        <f t="shared" si="0"/>
        <v>1066</v>
      </c>
      <c r="H15" s="12">
        <f t="shared" ref="H15:H25" si="1">G15-F15</f>
        <v>1018</v>
      </c>
      <c r="I15" s="25"/>
    </row>
    <row r="16" spans="1:15" ht="17.25" customHeight="1">
      <c r="A16" s="13"/>
      <c r="B16" s="9" t="s">
        <v>50</v>
      </c>
      <c r="C16" s="14"/>
      <c r="D16" s="11">
        <v>200</v>
      </c>
      <c r="E16" s="12" t="s">
        <v>37</v>
      </c>
      <c r="F16" s="11">
        <v>16</v>
      </c>
      <c r="G16" s="12">
        <f t="shared" si="0"/>
        <v>362</v>
      </c>
      <c r="H16" s="12">
        <f t="shared" si="1"/>
        <v>346</v>
      </c>
      <c r="I16" s="25"/>
    </row>
    <row r="17" spans="1:9" ht="17.25" customHeight="1">
      <c r="A17" s="13"/>
      <c r="B17" s="9" t="s">
        <v>51</v>
      </c>
      <c r="C17" s="14"/>
      <c r="D17" s="11">
        <v>1120</v>
      </c>
      <c r="E17" s="12" t="s">
        <v>37</v>
      </c>
      <c r="F17" s="11">
        <v>36</v>
      </c>
      <c r="G17" s="12">
        <f t="shared" si="0"/>
        <v>802</v>
      </c>
      <c r="H17" s="12">
        <f t="shared" si="1"/>
        <v>766</v>
      </c>
      <c r="I17" s="25"/>
    </row>
    <row r="18" spans="1:9" ht="17.25" customHeight="1">
      <c r="A18" s="13"/>
      <c r="B18" s="9" t="s">
        <v>52</v>
      </c>
      <c r="C18" s="14"/>
      <c r="D18" s="11">
        <v>2560</v>
      </c>
      <c r="E18" s="12" t="s">
        <v>37</v>
      </c>
      <c r="F18" s="11">
        <v>60</v>
      </c>
      <c r="G18" s="12">
        <f t="shared" si="0"/>
        <v>1330</v>
      </c>
      <c r="H18" s="12">
        <f t="shared" si="1"/>
        <v>1270</v>
      </c>
      <c r="I18" s="25"/>
    </row>
    <row r="19" spans="1:9" ht="17.25" customHeight="1">
      <c r="A19" s="13"/>
      <c r="B19" s="9" t="s">
        <v>53</v>
      </c>
      <c r="C19" s="14"/>
      <c r="D19" s="11">
        <v>5620</v>
      </c>
      <c r="E19" s="12" t="s">
        <v>44</v>
      </c>
      <c r="F19" s="11">
        <v>418</v>
      </c>
      <c r="G19" s="12">
        <v>9180</v>
      </c>
      <c r="H19" s="12">
        <f t="shared" si="1"/>
        <v>8762</v>
      </c>
      <c r="I19" s="25"/>
    </row>
    <row r="20" spans="1:9" ht="17.25" customHeight="1">
      <c r="A20" s="13"/>
      <c r="B20" s="9" t="s">
        <v>54</v>
      </c>
      <c r="C20" s="14"/>
      <c r="D20" s="11">
        <v>3120</v>
      </c>
      <c r="E20" s="12" t="s">
        <v>37</v>
      </c>
      <c r="F20" s="11">
        <v>7</v>
      </c>
      <c r="G20" s="12">
        <v>172</v>
      </c>
      <c r="H20" s="12">
        <f t="shared" si="1"/>
        <v>165</v>
      </c>
      <c r="I20" s="25"/>
    </row>
    <row r="21" spans="1:9" ht="17.25" customHeight="1">
      <c r="A21" s="13"/>
      <c r="B21" s="9" t="s">
        <v>55</v>
      </c>
      <c r="C21" s="55" t="s">
        <v>41</v>
      </c>
      <c r="D21" s="11">
        <v>800</v>
      </c>
      <c r="E21" s="12" t="s">
        <v>37</v>
      </c>
      <c r="F21" s="11">
        <v>13</v>
      </c>
      <c r="G21" s="12">
        <f t="shared" si="0"/>
        <v>296</v>
      </c>
      <c r="H21" s="12">
        <f t="shared" si="1"/>
        <v>283</v>
      </c>
      <c r="I21" s="25"/>
    </row>
    <row r="22" spans="1:9" ht="17.25" customHeight="1">
      <c r="A22" s="13"/>
      <c r="B22" s="9" t="s">
        <v>56</v>
      </c>
      <c r="C22" s="14"/>
      <c r="D22" s="11">
        <v>780</v>
      </c>
      <c r="E22" s="12" t="s">
        <v>37</v>
      </c>
      <c r="F22" s="11">
        <v>55</v>
      </c>
      <c r="G22" s="12">
        <f t="shared" si="0"/>
        <v>1220</v>
      </c>
      <c r="H22" s="12">
        <f t="shared" si="1"/>
        <v>1165</v>
      </c>
      <c r="I22" s="25"/>
    </row>
    <row r="23" spans="1:9" ht="17.25" customHeight="1">
      <c r="A23" s="13"/>
      <c r="B23" s="9" t="s">
        <v>57</v>
      </c>
      <c r="C23" s="14"/>
      <c r="D23" s="11">
        <v>200</v>
      </c>
      <c r="E23" s="12" t="s">
        <v>37</v>
      </c>
      <c r="F23" s="11">
        <v>5</v>
      </c>
      <c r="G23" s="12">
        <f t="shared" si="0"/>
        <v>120</v>
      </c>
      <c r="H23" s="12">
        <f t="shared" si="1"/>
        <v>115</v>
      </c>
      <c r="I23" s="25"/>
    </row>
    <row r="24" spans="1:9" ht="17.25" customHeight="1">
      <c r="A24" s="13"/>
      <c r="B24" s="9" t="s">
        <v>58</v>
      </c>
      <c r="C24" s="14"/>
      <c r="D24" s="11">
        <v>4560</v>
      </c>
      <c r="E24" s="12" t="s">
        <v>37</v>
      </c>
      <c r="F24" s="11">
        <v>84</v>
      </c>
      <c r="G24" s="12">
        <f t="shared" si="0"/>
        <v>1858</v>
      </c>
      <c r="H24" s="12">
        <f t="shared" si="1"/>
        <v>1774</v>
      </c>
      <c r="I24" s="25"/>
    </row>
    <row r="25" spans="1:9" ht="17.25" customHeight="1">
      <c r="A25" s="13"/>
      <c r="B25" s="9" t="s">
        <v>59</v>
      </c>
      <c r="C25" s="14"/>
      <c r="D25" s="11">
        <v>1860</v>
      </c>
      <c r="E25" s="12" t="s">
        <v>37</v>
      </c>
      <c r="F25" s="11">
        <v>18</v>
      </c>
      <c r="G25" s="12">
        <f t="shared" si="0"/>
        <v>406</v>
      </c>
      <c r="H25" s="12">
        <f t="shared" si="1"/>
        <v>388</v>
      </c>
      <c r="I25" s="25"/>
    </row>
    <row r="26" spans="1:9" ht="17.25" customHeight="1">
      <c r="A26" s="13"/>
      <c r="B26" s="9" t="s">
        <v>60</v>
      </c>
      <c r="C26" s="14"/>
      <c r="D26" s="11">
        <v>500</v>
      </c>
      <c r="E26" s="12" t="s">
        <v>37</v>
      </c>
      <c r="F26" s="11">
        <v>9</v>
      </c>
      <c r="G26" s="12">
        <f t="shared" si="0"/>
        <v>208</v>
      </c>
      <c r="H26" s="12">
        <f t="shared" ref="H26:H32" si="2">G26-F26</f>
        <v>199</v>
      </c>
      <c r="I26" s="25"/>
    </row>
    <row r="27" spans="1:9" ht="17.25" customHeight="1">
      <c r="A27" s="13"/>
      <c r="B27" s="9" t="s">
        <v>61</v>
      </c>
      <c r="C27" s="14"/>
      <c r="D27" s="11">
        <v>11</v>
      </c>
      <c r="E27" s="12" t="s">
        <v>37</v>
      </c>
      <c r="F27" s="11">
        <v>11</v>
      </c>
      <c r="G27" s="12">
        <f t="shared" si="0"/>
        <v>252</v>
      </c>
      <c r="H27" s="12">
        <f t="shared" si="2"/>
        <v>241</v>
      </c>
      <c r="I27" s="25"/>
    </row>
    <row r="28" spans="1:9" ht="17.25" customHeight="1">
      <c r="A28" s="13"/>
      <c r="B28" s="9" t="s">
        <v>62</v>
      </c>
      <c r="C28" s="14"/>
      <c r="D28" s="11">
        <v>7</v>
      </c>
      <c r="E28" s="12" t="s">
        <v>37</v>
      </c>
      <c r="F28" s="11">
        <v>7</v>
      </c>
      <c r="G28" s="12">
        <f t="shared" si="0"/>
        <v>164</v>
      </c>
      <c r="H28" s="12">
        <f t="shared" si="2"/>
        <v>157</v>
      </c>
      <c r="I28" s="25"/>
    </row>
    <row r="29" spans="1:9" ht="17.25" customHeight="1">
      <c r="A29" s="13"/>
      <c r="B29" s="9" t="s">
        <v>63</v>
      </c>
      <c r="C29" s="14"/>
      <c r="D29" s="11">
        <v>20</v>
      </c>
      <c r="E29" s="12" t="s">
        <v>37</v>
      </c>
      <c r="F29" s="11">
        <v>4</v>
      </c>
      <c r="G29" s="12">
        <f t="shared" si="0"/>
        <v>98</v>
      </c>
      <c r="H29" s="12">
        <f t="shared" si="2"/>
        <v>94</v>
      </c>
      <c r="I29" s="25"/>
    </row>
    <row r="30" spans="1:9" ht="17.25" customHeight="1">
      <c r="A30" s="13"/>
      <c r="B30" s="9" t="s">
        <v>64</v>
      </c>
      <c r="C30" s="14"/>
      <c r="D30" s="11">
        <v>50</v>
      </c>
      <c r="E30" s="12" t="s">
        <v>37</v>
      </c>
      <c r="F30" s="11">
        <v>13</v>
      </c>
      <c r="G30" s="12">
        <f t="shared" si="0"/>
        <v>296</v>
      </c>
      <c r="H30" s="12">
        <f t="shared" si="2"/>
        <v>283</v>
      </c>
      <c r="I30" s="25"/>
    </row>
    <row r="31" spans="1:9" ht="17.25" customHeight="1">
      <c r="A31" s="13"/>
      <c r="B31" s="9" t="s">
        <v>65</v>
      </c>
      <c r="C31" s="14"/>
      <c r="D31" s="11">
        <v>6</v>
      </c>
      <c r="E31" s="12" t="s">
        <v>37</v>
      </c>
      <c r="F31" s="11">
        <v>6</v>
      </c>
      <c r="G31" s="12">
        <f t="shared" si="0"/>
        <v>142</v>
      </c>
      <c r="H31" s="12">
        <f t="shared" si="2"/>
        <v>136</v>
      </c>
      <c r="I31" s="25"/>
    </row>
    <row r="32" spans="1:9" ht="17.25" customHeight="1">
      <c r="A32" s="13"/>
      <c r="B32" s="9" t="s">
        <v>66</v>
      </c>
      <c r="C32" s="14"/>
      <c r="D32" s="11">
        <v>1250</v>
      </c>
      <c r="E32" s="12" t="s">
        <v>37</v>
      </c>
      <c r="F32" s="11">
        <v>170</v>
      </c>
      <c r="G32" s="12">
        <f t="shared" si="0"/>
        <v>3750</v>
      </c>
      <c r="H32" s="12">
        <f t="shared" si="2"/>
        <v>3580</v>
      </c>
      <c r="I32" s="25"/>
    </row>
    <row r="33" spans="1:9" ht="17.25" customHeight="1">
      <c r="A33" s="13"/>
      <c r="B33" s="9"/>
      <c r="C33" s="14"/>
      <c r="D33" s="11"/>
      <c r="E33" s="12"/>
      <c r="F33" s="11"/>
      <c r="G33" s="12"/>
      <c r="H33" s="12"/>
      <c r="I33" s="11"/>
    </row>
    <row r="34" spans="1:9" ht="17.25" customHeight="1">
      <c r="A34" s="15" t="s">
        <v>38</v>
      </c>
      <c r="B34" s="16"/>
      <c r="C34" s="17"/>
      <c r="D34" s="18"/>
      <c r="E34" s="18"/>
      <c r="F34" s="19">
        <f>SUM(F11:F33)</f>
        <v>1109</v>
      </c>
      <c r="G34" s="20">
        <f>SUM(G11:G33)</f>
        <v>24600</v>
      </c>
      <c r="H34" s="19">
        <f>SUM(H11:H33)</f>
        <v>23491</v>
      </c>
    </row>
    <row r="35" spans="1:9">
      <c r="H35" s="21"/>
    </row>
    <row r="36" spans="1:9">
      <c r="G36" s="22"/>
    </row>
    <row r="43" spans="1:9">
      <c r="H43" t="s">
        <v>23</v>
      </c>
    </row>
  </sheetData>
  <mergeCells count="8">
    <mergeCell ref="B10:C10"/>
    <mergeCell ref="B5:D7"/>
    <mergeCell ref="I4:J4"/>
    <mergeCell ref="I6:J6"/>
    <mergeCell ref="A2:H2"/>
    <mergeCell ref="F4:G4"/>
    <mergeCell ref="E6:G6"/>
    <mergeCell ref="B8:D8"/>
  </mergeCells>
  <phoneticPr fontId="19" type="noConversion"/>
  <pageMargins left="0.23999999999999996" right="0.18" top="0.13" bottom="0.28000000000000003" header="0.13" footer="0.11999999999999998"/>
  <pageSetup paperSize="9" orientation="portrait" horizontalDpi="4294967293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21" sqref="D21"/>
    </sheetView>
  </sheetViews>
  <sheetFormatPr defaultColWidth="9" defaultRowHeight="15.6"/>
  <sheetData/>
  <phoneticPr fontId="19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PACKING LIST</vt:lpstr>
      <vt:lpstr>Sheet3</vt:lpstr>
    </vt:vector>
  </TitlesOfParts>
  <Company>四季货运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LAOCHEN</dc:creator>
  <cp:lastModifiedBy>shuying jin</cp:lastModifiedBy>
  <cp:lastPrinted>2022-05-09T02:15:46Z</cp:lastPrinted>
  <dcterms:created xsi:type="dcterms:W3CDTF">2006-12-14T07:27:22Z</dcterms:created>
  <dcterms:modified xsi:type="dcterms:W3CDTF">2026-04-15T00:19:17Z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EB9FF0EA49D143D5B4EB712AB3489414</vt:lpwstr>
  </property>
  <property fmtid="{D5CDD505-2E9C-101B-9397-08002B2CF9AE}" pid="3" name="KSOProductBuildVer">
    <vt:lpwstr>2052-12.1.0.19302</vt:lpwstr>
  </property>
</Properties>
</file>